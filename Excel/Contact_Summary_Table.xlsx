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New folder\"/>
    </mc:Choice>
  </mc:AlternateContent>
  <xr:revisionPtr revIDLastSave="0" documentId="13_ncr:1_{CF434D34-E9B6-4119-8F72-B824C0111132}" xr6:coauthVersionLast="47" xr6:coauthVersionMax="47" xr10:uidLastSave="{00000000-0000-0000-0000-000000000000}"/>
  <bookViews>
    <workbookView xWindow="-108" yWindow="-108" windowWidth="23256" windowHeight="12576" activeTab="3" xr2:uid="{CEC46E74-274B-43D2-BEF9-2A39A77B89B0}"/>
  </bookViews>
  <sheets>
    <sheet name="Pivot_Analysis" sheetId="5" r:id="rId1"/>
    <sheet name="Summary" sheetId="1" r:id="rId2"/>
    <sheet name="Analysis" sheetId="2" r:id="rId3"/>
    <sheet name="Dashboard" sheetId="3" r:id="rId4"/>
    <sheet name="Rank_Analysis" sheetId="4" r:id="rId5"/>
  </sheets>
  <definedNames>
    <definedName name="ExternalData_1" localSheetId="1" hidden="1">Summary!$A$1:$AB$96</definedName>
    <definedName name="Slicer_Gender1">#N/A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AC2" i="1" l="1" a="1"/>
  <c r="AC2" i="1" s="1"/>
  <c r="AC3" i="1" a="1"/>
  <c r="AC3" i="1"/>
  <c r="AC4" i="1" a="1"/>
  <c r="AC4" i="1" s="1"/>
  <c r="AC5" i="1" a="1"/>
  <c r="AC5" i="1"/>
  <c r="AC6" i="1" a="1"/>
  <c r="AC6" i="1" s="1"/>
  <c r="AC7" i="1" a="1"/>
  <c r="AC7" i="1"/>
  <c r="AC8" i="1" a="1"/>
  <c r="AC8" i="1" s="1"/>
  <c r="AC9" i="1" a="1"/>
  <c r="AC9" i="1"/>
  <c r="AC10" i="1" a="1"/>
  <c r="AC10" i="1" s="1"/>
  <c r="AC11" i="1" a="1"/>
  <c r="AC11" i="1"/>
  <c r="AC12" i="1" a="1"/>
  <c r="AC12" i="1" s="1"/>
  <c r="AC13" i="1" a="1"/>
  <c r="AC13" i="1"/>
  <c r="AC14" i="1" a="1"/>
  <c r="AC14" i="1" s="1"/>
  <c r="AC15" i="1" a="1"/>
  <c r="AC15" i="1"/>
  <c r="AC16" i="1" a="1"/>
  <c r="AC16" i="1" s="1"/>
  <c r="AC17" i="1" a="1"/>
  <c r="AC17" i="1"/>
  <c r="AC18" i="1" a="1"/>
  <c r="AC18" i="1" s="1"/>
  <c r="AC19" i="1" a="1"/>
  <c r="AC19" i="1"/>
  <c r="AC20" i="1" a="1"/>
  <c r="AC20" i="1" s="1"/>
  <c r="AC21" i="1" a="1"/>
  <c r="AC21" i="1"/>
  <c r="AC22" i="1" a="1"/>
  <c r="AC22" i="1" s="1"/>
  <c r="AC23" i="1" a="1"/>
  <c r="AC23" i="1"/>
  <c r="AC24" i="1" a="1"/>
  <c r="AC24" i="1" s="1"/>
  <c r="AC25" i="1" a="1"/>
  <c r="AC25" i="1"/>
  <c r="AC26" i="1" a="1"/>
  <c r="AC26" i="1" s="1"/>
  <c r="AC27" i="1" a="1"/>
  <c r="AC27" i="1"/>
  <c r="AC28" i="1" a="1"/>
  <c r="AC28" i="1" s="1"/>
  <c r="AC29" i="1" a="1"/>
  <c r="AC29" i="1"/>
  <c r="AC30" i="1" a="1"/>
  <c r="AC30" i="1" s="1"/>
  <c r="AC31" i="1" a="1"/>
  <c r="AC31" i="1"/>
  <c r="AC32" i="1" a="1"/>
  <c r="AC32" i="1" s="1"/>
  <c r="AC33" i="1" a="1"/>
  <c r="AC33" i="1"/>
  <c r="AC34" i="1" a="1"/>
  <c r="AC34" i="1" s="1"/>
  <c r="AC35" i="1" a="1"/>
  <c r="AC35" i="1"/>
  <c r="AC36" i="1" a="1"/>
  <c r="AC36" i="1" s="1"/>
  <c r="AC37" i="1" a="1"/>
  <c r="AC37" i="1"/>
  <c r="AC38" i="1" a="1"/>
  <c r="AC38" i="1" s="1"/>
  <c r="AC39" i="1" a="1"/>
  <c r="AC39" i="1"/>
  <c r="AC40" i="1" a="1"/>
  <c r="AC40" i="1" s="1"/>
  <c r="AC41" i="1" a="1"/>
  <c r="AC41" i="1"/>
  <c r="AC42" i="1" a="1"/>
  <c r="AC42" i="1" s="1"/>
  <c r="AC43" i="1" a="1"/>
  <c r="AC43" i="1"/>
  <c r="AC44" i="1" a="1"/>
  <c r="AC44" i="1" s="1"/>
  <c r="AC45" i="1" a="1"/>
  <c r="AC45" i="1"/>
  <c r="AC46" i="1" a="1"/>
  <c r="AC46" i="1" s="1"/>
  <c r="AC47" i="1" a="1"/>
  <c r="AC47" i="1"/>
  <c r="AC48" i="1" a="1"/>
  <c r="AC48" i="1" s="1"/>
  <c r="AC49" i="1" a="1"/>
  <c r="AC49" i="1"/>
  <c r="AC50" i="1" a="1"/>
  <c r="AC50" i="1" s="1"/>
  <c r="AC51" i="1" a="1"/>
  <c r="AC51" i="1"/>
  <c r="AC52" i="1" a="1"/>
  <c r="AC52" i="1" s="1"/>
  <c r="AC53" i="1" a="1"/>
  <c r="AC53" i="1"/>
  <c r="AC54" i="1" a="1"/>
  <c r="AC54" i="1" s="1"/>
  <c r="AC55" i="1" a="1"/>
  <c r="AC55" i="1"/>
  <c r="AC56" i="1" a="1"/>
  <c r="AC56" i="1" s="1"/>
  <c r="AC57" i="1" a="1"/>
  <c r="AC57" i="1"/>
  <c r="AC58" i="1" a="1"/>
  <c r="AC58" i="1" s="1"/>
  <c r="AC59" i="1" a="1"/>
  <c r="AC59" i="1"/>
  <c r="AC60" i="1" a="1"/>
  <c r="AC60" i="1" s="1"/>
  <c r="AC61" i="1" a="1"/>
  <c r="AC61" i="1"/>
  <c r="AC62" i="1" a="1"/>
  <c r="AC62" i="1" s="1"/>
  <c r="AC63" i="1" a="1"/>
  <c r="AC63" i="1"/>
  <c r="AC64" i="1" a="1"/>
  <c r="AC64" i="1" s="1"/>
  <c r="AC65" i="1" a="1"/>
  <c r="AC65" i="1"/>
  <c r="AC66" i="1" a="1"/>
  <c r="AC66" i="1" s="1"/>
  <c r="AC67" i="1" a="1"/>
  <c r="AC67" i="1"/>
  <c r="AC68" i="1" a="1"/>
  <c r="AC68" i="1" s="1"/>
  <c r="AC69" i="1" a="1"/>
  <c r="AC69" i="1"/>
  <c r="AC70" i="1" a="1"/>
  <c r="AC70" i="1" s="1"/>
  <c r="AC71" i="1" a="1"/>
  <c r="AC71" i="1"/>
  <c r="AC72" i="1" a="1"/>
  <c r="AC72" i="1" s="1"/>
  <c r="AC73" i="1" a="1"/>
  <c r="AC73" i="1"/>
  <c r="AC74" i="1" a="1"/>
  <c r="AC74" i="1" s="1"/>
  <c r="AC75" i="1" a="1"/>
  <c r="AC75" i="1"/>
  <c r="AC76" i="1" a="1"/>
  <c r="AC76" i="1" s="1"/>
  <c r="AC77" i="1" a="1"/>
  <c r="AC77" i="1"/>
  <c r="AC78" i="1" a="1"/>
  <c r="AC78" i="1" s="1"/>
  <c r="AC79" i="1" a="1"/>
  <c r="AC79" i="1"/>
  <c r="AC80" i="1" a="1"/>
  <c r="AC80" i="1" s="1"/>
  <c r="AC81" i="1" a="1"/>
  <c r="AC81" i="1"/>
  <c r="AC82" i="1" a="1"/>
  <c r="AC82" i="1" s="1"/>
  <c r="AC83" i="1" a="1"/>
  <c r="AC83" i="1"/>
  <c r="AC84" i="1" a="1"/>
  <c r="AC84" i="1" s="1"/>
  <c r="AC85" i="1" a="1"/>
  <c r="AC85" i="1"/>
  <c r="AC86" i="1" a="1"/>
  <c r="AC86" i="1" s="1"/>
  <c r="AC87" i="1" a="1"/>
  <c r="AC87" i="1"/>
  <c r="AC88" i="1" a="1"/>
  <c r="AC88" i="1" s="1"/>
  <c r="AC89" i="1" a="1"/>
  <c r="AC89" i="1"/>
  <c r="AC90" i="1" a="1"/>
  <c r="AC90" i="1" s="1"/>
  <c r="AC91" i="1" a="1"/>
  <c r="AC91" i="1"/>
  <c r="AC92" i="1" a="1"/>
  <c r="AC92" i="1" s="1"/>
  <c r="AC93" i="1" a="1"/>
  <c r="AC93" i="1"/>
  <c r="AC94" i="1" a="1"/>
  <c r="AC94" i="1" s="1"/>
  <c r="AC95" i="1" a="1"/>
  <c r="AC95" i="1"/>
  <c r="AC96" i="1" a="1"/>
  <c r="AC96" i="1" s="1"/>
  <c r="C2" i="4" a="1"/>
  <c r="C2" i="4" s="1"/>
  <c r="A2" i="4" a="1"/>
  <c r="A2" i="4" s="1"/>
  <c r="C5" i="3"/>
  <c r="C4" i="3"/>
  <c r="C32" i="3"/>
  <c r="C31" i="3"/>
  <c r="C30" i="3"/>
  <c r="C29" i="3"/>
  <c r="C28" i="3"/>
  <c r="C27" i="3"/>
  <c r="C26" i="3"/>
  <c r="C25" i="3"/>
  <c r="C24" i="3"/>
  <c r="C23" i="3"/>
  <c r="C22" i="3"/>
  <c r="C21" i="3"/>
  <c r="C20" i="3"/>
  <c r="C19" i="3"/>
  <c r="C18" i="3"/>
  <c r="C17" i="3"/>
  <c r="C16" i="3"/>
  <c r="C15" i="3"/>
  <c r="C14" i="3"/>
  <c r="C13" i="3"/>
  <c r="C12" i="3"/>
  <c r="C11" i="3"/>
  <c r="C10" i="3"/>
  <c r="C7" i="3"/>
  <c r="C6" i="3"/>
  <c r="K11" i="2"/>
  <c r="K10" i="2"/>
  <c r="K9" i="2"/>
  <c r="K8" i="2"/>
  <c r="K7" i="2"/>
  <c r="K6" i="2"/>
  <c r="K5" i="2"/>
  <c r="K4" i="2"/>
  <c r="K3" i="2"/>
  <c r="K2" i="2"/>
  <c r="A2" i="2" a="1"/>
  <c r="I19" i="2" s="1" a="1"/>
  <c r="I19" i="2" s="1"/>
  <c r="I60" i="2" l="1" a="1"/>
  <c r="I60" i="2" s="1"/>
  <c r="B85" i="2"/>
  <c r="B79" i="2"/>
  <c r="B64" i="2"/>
  <c r="B57" i="2"/>
  <c r="B51" i="2"/>
  <c r="B36" i="2"/>
  <c r="B29" i="2"/>
  <c r="B21" i="2"/>
  <c r="B8" i="2"/>
  <c r="C91" i="2"/>
  <c r="D91" i="2" s="1"/>
  <c r="C74" i="2"/>
  <c r="D74" i="2" s="1"/>
  <c r="E74" i="2" s="1"/>
  <c r="C63" i="2"/>
  <c r="D63" i="2" s="1"/>
  <c r="C46" i="2"/>
  <c r="D46" i="2" s="1"/>
  <c r="C26" i="2"/>
  <c r="D26" i="2" s="1"/>
  <c r="C17" i="2"/>
  <c r="D17" i="2" s="1"/>
  <c r="F93" i="2"/>
  <c r="F40" i="2"/>
  <c r="B91" i="2"/>
  <c r="B84" i="2"/>
  <c r="B77" i="2"/>
  <c r="B69" i="2"/>
  <c r="B63" i="2"/>
  <c r="B56" i="2"/>
  <c r="B48" i="2"/>
  <c r="B41" i="2"/>
  <c r="B35" i="2"/>
  <c r="B27" i="2"/>
  <c r="B20" i="2"/>
  <c r="B13" i="2"/>
  <c r="B5" i="2"/>
  <c r="C90" i="2"/>
  <c r="D90" i="2" s="1"/>
  <c r="E90" i="2" s="1"/>
  <c r="C81" i="2"/>
  <c r="D81" i="2" s="1"/>
  <c r="C70" i="2"/>
  <c r="D70" i="2" s="1"/>
  <c r="C62" i="2"/>
  <c r="D62" i="2" s="1"/>
  <c r="C53" i="2"/>
  <c r="D53" i="2" s="1"/>
  <c r="E53" i="2" s="1"/>
  <c r="C42" i="2"/>
  <c r="D42" i="2" s="1"/>
  <c r="C33" i="2"/>
  <c r="D33" i="2" s="1"/>
  <c r="C25" i="2"/>
  <c r="D25" i="2" s="1"/>
  <c r="C14" i="2"/>
  <c r="D14" i="2" s="1"/>
  <c r="E14" i="2" s="1"/>
  <c r="C5" i="2"/>
  <c r="D5" i="2" s="1"/>
  <c r="F87" i="2"/>
  <c r="F73" i="2"/>
  <c r="F54" i="2"/>
  <c r="F33" i="2"/>
  <c r="F17" i="2"/>
  <c r="G91" i="2"/>
  <c r="G70" i="2"/>
  <c r="G53" i="2"/>
  <c r="G27" i="2"/>
  <c r="H94" i="2" a="1"/>
  <c r="H94" i="2" s="1"/>
  <c r="H69" i="2" a="1"/>
  <c r="H69" i="2" s="1"/>
  <c r="B96" i="2"/>
  <c r="B89" i="2"/>
  <c r="B83" i="2"/>
  <c r="B75" i="2"/>
  <c r="B68" i="2"/>
  <c r="B61" i="2"/>
  <c r="B53" i="2"/>
  <c r="B47" i="2"/>
  <c r="B40" i="2"/>
  <c r="B32" i="2"/>
  <c r="B25" i="2"/>
  <c r="B19" i="2"/>
  <c r="B11" i="2"/>
  <c r="B3" i="2"/>
  <c r="C89" i="2"/>
  <c r="D89" i="2" s="1"/>
  <c r="E89" i="2" s="1"/>
  <c r="C78" i="2"/>
  <c r="D78" i="2" s="1"/>
  <c r="E78" i="2" s="1"/>
  <c r="C69" i="2"/>
  <c r="D69" i="2" s="1"/>
  <c r="E69" i="2" s="1"/>
  <c r="C59" i="2"/>
  <c r="D59" i="2" s="1"/>
  <c r="C49" i="2"/>
  <c r="D49" i="2" s="1"/>
  <c r="C41" i="2"/>
  <c r="D41" i="2" s="1"/>
  <c r="E41" i="2" s="1"/>
  <c r="C31" i="2"/>
  <c r="D31" i="2" s="1"/>
  <c r="C21" i="2"/>
  <c r="D21" i="2" s="1"/>
  <c r="C11" i="2"/>
  <c r="D11" i="2" s="1"/>
  <c r="F86" i="2"/>
  <c r="F68" i="2"/>
  <c r="F46" i="2"/>
  <c r="F30" i="2"/>
  <c r="F12" i="2"/>
  <c r="G84" i="2"/>
  <c r="G68" i="2"/>
  <c r="G45" i="2"/>
  <c r="G17" i="2"/>
  <c r="H93" i="2" a="1"/>
  <c r="H93" i="2" s="1"/>
  <c r="H18" i="2" a="1"/>
  <c r="H18" i="2" s="1"/>
  <c r="A2" i="2"/>
  <c r="I7" i="2" a="1"/>
  <c r="I7" i="2" s="1"/>
  <c r="I10" i="2" a="1"/>
  <c r="I10" i="2" s="1"/>
  <c r="I15" i="2" a="1"/>
  <c r="I15" i="2" s="1"/>
  <c r="I18" i="2" a="1"/>
  <c r="I18" i="2" s="1"/>
  <c r="I23" i="2" a="1"/>
  <c r="I23" i="2" s="1"/>
  <c r="I26" i="2" a="1"/>
  <c r="I26" i="2" s="1"/>
  <c r="I31" i="2" a="1"/>
  <c r="I31" i="2" s="1"/>
  <c r="I34" i="2" a="1"/>
  <c r="I34" i="2" s="1"/>
  <c r="I39" i="2" a="1"/>
  <c r="I39" i="2" s="1"/>
  <c r="I42" i="2" a="1"/>
  <c r="I42" i="2" s="1"/>
  <c r="I47" i="2" a="1"/>
  <c r="I47" i="2" s="1"/>
  <c r="I50" i="2" a="1"/>
  <c r="I50" i="2" s="1"/>
  <c r="I55" i="2" a="1"/>
  <c r="I55" i="2" s="1"/>
  <c r="I58" i="2" a="1"/>
  <c r="I58" i="2" s="1"/>
  <c r="I63" i="2" a="1"/>
  <c r="I63" i="2" s="1"/>
  <c r="I66" i="2" a="1"/>
  <c r="I66" i="2" s="1"/>
  <c r="I71" i="2" a="1"/>
  <c r="I71" i="2" s="1"/>
  <c r="I74" i="2" a="1"/>
  <c r="I74" i="2" s="1"/>
  <c r="I79" i="2" a="1"/>
  <c r="I79" i="2" s="1"/>
  <c r="I82" i="2" a="1"/>
  <c r="I82" i="2" s="1"/>
  <c r="I87" i="2" a="1"/>
  <c r="I87" i="2" s="1"/>
  <c r="I90" i="2" a="1"/>
  <c r="I90" i="2" s="1"/>
  <c r="I95" i="2" a="1"/>
  <c r="I95" i="2" s="1"/>
  <c r="I5" i="2" a="1"/>
  <c r="I5" i="2" s="1"/>
  <c r="I8" i="2" a="1"/>
  <c r="I8" i="2" s="1"/>
  <c r="I13" i="2" a="1"/>
  <c r="I13" i="2" s="1"/>
  <c r="I16" i="2" a="1"/>
  <c r="I16" i="2" s="1"/>
  <c r="I21" i="2" a="1"/>
  <c r="I21" i="2" s="1"/>
  <c r="I24" i="2" a="1"/>
  <c r="I24" i="2" s="1"/>
  <c r="I29" i="2" a="1"/>
  <c r="I29" i="2" s="1"/>
  <c r="I32" i="2" a="1"/>
  <c r="I32" i="2" s="1"/>
  <c r="I37" i="2" a="1"/>
  <c r="I37" i="2" s="1"/>
  <c r="I40" i="2" a="1"/>
  <c r="I40" i="2" s="1"/>
  <c r="I45" i="2" a="1"/>
  <c r="I45" i="2" s="1"/>
  <c r="I48" i="2" a="1"/>
  <c r="I48" i="2" s="1"/>
  <c r="I53" i="2" a="1"/>
  <c r="I53" i="2" s="1"/>
  <c r="I56" i="2" a="1"/>
  <c r="I56" i="2" s="1"/>
  <c r="I61" i="2" a="1"/>
  <c r="I61" i="2" s="1"/>
  <c r="I64" i="2" a="1"/>
  <c r="I64" i="2" s="1"/>
  <c r="I69" i="2" a="1"/>
  <c r="I69" i="2" s="1"/>
  <c r="I72" i="2" a="1"/>
  <c r="I72" i="2" s="1"/>
  <c r="I77" i="2" a="1"/>
  <c r="I77" i="2" s="1"/>
  <c r="I80" i="2" a="1"/>
  <c r="I80" i="2" s="1"/>
  <c r="I85" i="2" a="1"/>
  <c r="I85" i="2" s="1"/>
  <c r="I88" i="2" a="1"/>
  <c r="I88" i="2" s="1"/>
  <c r="I93" i="2" a="1"/>
  <c r="I93" i="2" s="1"/>
  <c r="I96" i="2" a="1"/>
  <c r="I96" i="2" s="1"/>
  <c r="H4" i="2" a="1"/>
  <c r="H4" i="2" s="1"/>
  <c r="H9" i="2" a="1"/>
  <c r="H9" i="2" s="1"/>
  <c r="H12" i="2" a="1"/>
  <c r="H12" i="2" s="1"/>
  <c r="H17" i="2" a="1"/>
  <c r="H17" i="2" s="1"/>
  <c r="H20" i="2" a="1"/>
  <c r="H20" i="2" s="1"/>
  <c r="H25" i="2" a="1"/>
  <c r="H25" i="2" s="1"/>
  <c r="H28" i="2" a="1"/>
  <c r="H28" i="2" s="1"/>
  <c r="H33" i="2" a="1"/>
  <c r="H33" i="2" s="1"/>
  <c r="H36" i="2" a="1"/>
  <c r="H36" i="2" s="1"/>
  <c r="H41" i="2" a="1"/>
  <c r="H41" i="2" s="1"/>
  <c r="H44" i="2" a="1"/>
  <c r="H44" i="2" s="1"/>
  <c r="H49" i="2" a="1"/>
  <c r="H49" i="2" s="1"/>
  <c r="H52" i="2" a="1"/>
  <c r="H52" i="2" s="1"/>
  <c r="H57" i="2" a="1"/>
  <c r="H57" i="2" s="1"/>
  <c r="H60" i="2" a="1"/>
  <c r="H60" i="2" s="1"/>
  <c r="H65" i="2" a="1"/>
  <c r="H65" i="2" s="1"/>
  <c r="H68" i="2" a="1"/>
  <c r="H68" i="2" s="1"/>
  <c r="H73" i="2" a="1"/>
  <c r="H73" i="2" s="1"/>
  <c r="H76" i="2" a="1"/>
  <c r="H76" i="2" s="1"/>
  <c r="H81" i="2" a="1"/>
  <c r="H81" i="2" s="1"/>
  <c r="H84" i="2" a="1"/>
  <c r="H84" i="2" s="1"/>
  <c r="H89" i="2" a="1"/>
  <c r="H89" i="2" s="1"/>
  <c r="H92" i="2" a="1"/>
  <c r="H92" i="2" s="1"/>
  <c r="G6" i="2"/>
  <c r="G10" i="2"/>
  <c r="G14" i="2"/>
  <c r="G18" i="2"/>
  <c r="G22" i="2"/>
  <c r="G26" i="2"/>
  <c r="G30" i="2"/>
  <c r="G34" i="2"/>
  <c r="G38" i="2"/>
  <c r="G42" i="2"/>
  <c r="G46" i="2"/>
  <c r="G50" i="2"/>
  <c r="G54" i="2"/>
  <c r="I4" i="2" a="1"/>
  <c r="I4" i="2" s="1"/>
  <c r="I9" i="2" a="1"/>
  <c r="I9" i="2" s="1"/>
  <c r="I20" i="2" a="1"/>
  <c r="I20" i="2" s="1"/>
  <c r="I25" i="2" a="1"/>
  <c r="I25" i="2" s="1"/>
  <c r="I36" i="2" a="1"/>
  <c r="I36" i="2" s="1"/>
  <c r="I41" i="2" a="1"/>
  <c r="I41" i="2" s="1"/>
  <c r="I52" i="2" a="1"/>
  <c r="I52" i="2" s="1"/>
  <c r="I57" i="2" a="1"/>
  <c r="I57" i="2" s="1"/>
  <c r="I68" i="2" a="1"/>
  <c r="I68" i="2" s="1"/>
  <c r="I73" i="2" a="1"/>
  <c r="I73" i="2" s="1"/>
  <c r="I84" i="2" a="1"/>
  <c r="I84" i="2" s="1"/>
  <c r="I89" i="2" a="1"/>
  <c r="I89" i="2" s="1"/>
  <c r="H6" i="2" a="1"/>
  <c r="H6" i="2" s="1"/>
  <c r="H10" i="2" a="1"/>
  <c r="H10" i="2" s="1"/>
  <c r="H13" i="2" a="1"/>
  <c r="H13" i="2" s="1"/>
  <c r="H24" i="2" a="1"/>
  <c r="H24" i="2" s="1"/>
  <c r="H27" i="2" a="1"/>
  <c r="H27" i="2" s="1"/>
  <c r="H31" i="2" a="1"/>
  <c r="H31" i="2" s="1"/>
  <c r="H38" i="2" a="1"/>
  <c r="H38" i="2" s="1"/>
  <c r="H42" i="2" a="1"/>
  <c r="H42" i="2" s="1"/>
  <c r="H45" i="2" a="1"/>
  <c r="H45" i="2" s="1"/>
  <c r="H56" i="2" a="1"/>
  <c r="H56" i="2" s="1"/>
  <c r="H59" i="2" a="1"/>
  <c r="H59" i="2" s="1"/>
  <c r="H63" i="2" a="1"/>
  <c r="H63" i="2" s="1"/>
  <c r="H70" i="2" a="1"/>
  <c r="H70" i="2" s="1"/>
  <c r="H74" i="2" a="1"/>
  <c r="H74" i="2" s="1"/>
  <c r="H77" i="2" a="1"/>
  <c r="H77" i="2" s="1"/>
  <c r="H88" i="2" a="1"/>
  <c r="H88" i="2" s="1"/>
  <c r="H91" i="2" a="1"/>
  <c r="H91" i="2" s="1"/>
  <c r="H95" i="2" a="1"/>
  <c r="H95" i="2" s="1"/>
  <c r="G4" i="2"/>
  <c r="G9" i="2"/>
  <c r="G15" i="2"/>
  <c r="G20" i="2"/>
  <c r="G25" i="2"/>
  <c r="G31" i="2"/>
  <c r="G36" i="2"/>
  <c r="G41" i="2"/>
  <c r="G47" i="2"/>
  <c r="G52" i="2"/>
  <c r="G57" i="2"/>
  <c r="G61" i="2"/>
  <c r="G65" i="2"/>
  <c r="G69" i="2"/>
  <c r="G73" i="2"/>
  <c r="G77" i="2"/>
  <c r="G81" i="2"/>
  <c r="G85" i="2"/>
  <c r="G89" i="2"/>
  <c r="G93" i="2"/>
  <c r="F3" i="2"/>
  <c r="F7" i="2"/>
  <c r="F11" i="2"/>
  <c r="F15" i="2"/>
  <c r="F19" i="2"/>
  <c r="F23" i="2"/>
  <c r="F27" i="2"/>
  <c r="F31" i="2"/>
  <c r="F35" i="2"/>
  <c r="F39" i="2"/>
  <c r="F43" i="2"/>
  <c r="F47" i="2"/>
  <c r="F51" i="2"/>
  <c r="F55" i="2"/>
  <c r="F59" i="2"/>
  <c r="F63" i="2"/>
  <c r="F67" i="2"/>
  <c r="F71" i="2"/>
  <c r="F75" i="2"/>
  <c r="F79" i="2"/>
  <c r="I14" i="2" a="1"/>
  <c r="I14" i="2" s="1"/>
  <c r="I22" i="2" a="1"/>
  <c r="I22" i="2" s="1"/>
  <c r="I28" i="2" a="1"/>
  <c r="I28" i="2" s="1"/>
  <c r="I35" i="2" a="1"/>
  <c r="I35" i="2" s="1"/>
  <c r="I43" i="2" a="1"/>
  <c r="I43" i="2" s="1"/>
  <c r="I49" i="2" a="1"/>
  <c r="I49" i="2" s="1"/>
  <c r="I78" i="2" a="1"/>
  <c r="I78" i="2" s="1"/>
  <c r="I86" i="2" a="1"/>
  <c r="I86" i="2" s="1"/>
  <c r="I92" i="2" a="1"/>
  <c r="I92" i="2" s="1"/>
  <c r="H5" i="2" a="1"/>
  <c r="H5" i="2" s="1"/>
  <c r="H15" i="2" a="1"/>
  <c r="H15" i="2" s="1"/>
  <c r="H19" i="2" a="1"/>
  <c r="H19" i="2" s="1"/>
  <c r="H29" i="2" a="1"/>
  <c r="H29" i="2" s="1"/>
  <c r="H34" i="2" a="1"/>
  <c r="H34" i="2" s="1"/>
  <c r="H39" i="2" a="1"/>
  <c r="H39" i="2" s="1"/>
  <c r="H43" i="2" a="1"/>
  <c r="H43" i="2" s="1"/>
  <c r="H48" i="2" a="1"/>
  <c r="H48" i="2" s="1"/>
  <c r="H53" i="2" a="1"/>
  <c r="H53" i="2" s="1"/>
  <c r="H58" i="2" a="1"/>
  <c r="H58" i="2" s="1"/>
  <c r="H62" i="2" a="1"/>
  <c r="H62" i="2" s="1"/>
  <c r="H67" i="2" a="1"/>
  <c r="H67" i="2" s="1"/>
  <c r="H72" i="2" a="1"/>
  <c r="H72" i="2" s="1"/>
  <c r="H82" i="2" a="1"/>
  <c r="H82" i="2" s="1"/>
  <c r="H86" i="2" a="1"/>
  <c r="H86" i="2" s="1"/>
  <c r="H96" i="2" a="1"/>
  <c r="H96" i="2" s="1"/>
  <c r="G7" i="2"/>
  <c r="G13" i="2"/>
  <c r="G21" i="2"/>
  <c r="G28" i="2"/>
  <c r="G35" i="2"/>
  <c r="G43" i="2"/>
  <c r="G49" i="2"/>
  <c r="G56" i="2"/>
  <c r="G62" i="2"/>
  <c r="G67" i="2"/>
  <c r="G72" i="2"/>
  <c r="G78" i="2"/>
  <c r="G83" i="2"/>
  <c r="G88" i="2"/>
  <c r="G94" i="2"/>
  <c r="F5" i="2"/>
  <c r="F10" i="2"/>
  <c r="F16" i="2"/>
  <c r="F21" i="2"/>
  <c r="F26" i="2"/>
  <c r="F32" i="2"/>
  <c r="F37" i="2"/>
  <c r="F42" i="2"/>
  <c r="F48" i="2"/>
  <c r="F53" i="2"/>
  <c r="F58" i="2"/>
  <c r="F64" i="2"/>
  <c r="F69" i="2"/>
  <c r="F74" i="2"/>
  <c r="F80" i="2"/>
  <c r="F84" i="2"/>
  <c r="F88" i="2"/>
  <c r="F92" i="2"/>
  <c r="F96" i="2"/>
  <c r="C4" i="2"/>
  <c r="D4" i="2" s="1"/>
  <c r="E4" i="2" s="1"/>
  <c r="C8" i="2"/>
  <c r="D8" i="2" s="1"/>
  <c r="E8" i="2" s="1"/>
  <c r="C12" i="2"/>
  <c r="D12" i="2" s="1"/>
  <c r="C16" i="2"/>
  <c r="D16" i="2" s="1"/>
  <c r="C20" i="2"/>
  <c r="D20" i="2" s="1"/>
  <c r="E20" i="2" s="1"/>
  <c r="C24" i="2"/>
  <c r="D24" i="2" s="1"/>
  <c r="C28" i="2"/>
  <c r="D28" i="2" s="1"/>
  <c r="C32" i="2"/>
  <c r="D32" i="2" s="1"/>
  <c r="E32" i="2" s="1"/>
  <c r="C36" i="2"/>
  <c r="D36" i="2" s="1"/>
  <c r="E36" i="2" s="1"/>
  <c r="C40" i="2"/>
  <c r="D40" i="2" s="1"/>
  <c r="E40" i="2" s="1"/>
  <c r="C44" i="2"/>
  <c r="D44" i="2" s="1"/>
  <c r="C48" i="2"/>
  <c r="D48" i="2" s="1"/>
  <c r="E48" i="2" s="1"/>
  <c r="C52" i="2"/>
  <c r="D52" i="2" s="1"/>
  <c r="C56" i="2"/>
  <c r="D56" i="2" s="1"/>
  <c r="C60" i="2"/>
  <c r="D60" i="2" s="1"/>
  <c r="C64" i="2"/>
  <c r="D64" i="2" s="1"/>
  <c r="C68" i="2"/>
  <c r="D68" i="2" s="1"/>
  <c r="E68" i="2" s="1"/>
  <c r="C72" i="2"/>
  <c r="D72" i="2" s="1"/>
  <c r="C76" i="2"/>
  <c r="D76" i="2" s="1"/>
  <c r="C80" i="2"/>
  <c r="D80" i="2" s="1"/>
  <c r="C84" i="2"/>
  <c r="D84" i="2" s="1"/>
  <c r="E84" i="2" s="1"/>
  <c r="C88" i="2"/>
  <c r="D88" i="2" s="1"/>
  <c r="C92" i="2"/>
  <c r="D92" i="2" s="1"/>
  <c r="C96" i="2"/>
  <c r="D96" i="2" s="1"/>
  <c r="E96" i="2" s="1"/>
  <c r="B6" i="2"/>
  <c r="B10" i="2"/>
  <c r="B14" i="2"/>
  <c r="B18" i="2"/>
  <c r="B22" i="2"/>
  <c r="B26" i="2"/>
  <c r="B30" i="2"/>
  <c r="B34" i="2"/>
  <c r="B38" i="2"/>
  <c r="B42" i="2"/>
  <c r="B46" i="2"/>
  <c r="B50" i="2"/>
  <c r="B54" i="2"/>
  <c r="B58" i="2"/>
  <c r="B62" i="2"/>
  <c r="B66" i="2"/>
  <c r="B70" i="2"/>
  <c r="B74" i="2"/>
  <c r="B78" i="2"/>
  <c r="B82" i="2"/>
  <c r="B86" i="2"/>
  <c r="B90" i="2"/>
  <c r="B94" i="2"/>
  <c r="I30" i="2" a="1"/>
  <c r="I30" i="2" s="1"/>
  <c r="I38" i="2" a="1"/>
  <c r="I38" i="2" s="1"/>
  <c r="I44" i="2" a="1"/>
  <c r="I44" i="2" s="1"/>
  <c r="I51" i="2" a="1"/>
  <c r="I51" i="2" s="1"/>
  <c r="I59" i="2" a="1"/>
  <c r="I59" i="2" s="1"/>
  <c r="I11" i="2" a="1"/>
  <c r="I11" i="2" s="1"/>
  <c r="I54" i="2" a="1"/>
  <c r="I54" i="2" s="1"/>
  <c r="I65" i="2" a="1"/>
  <c r="I65" i="2" s="1"/>
  <c r="I75" i="2" a="1"/>
  <c r="I75" i="2" s="1"/>
  <c r="I83" i="2" a="1"/>
  <c r="I83" i="2" s="1"/>
  <c r="I94" i="2" a="1"/>
  <c r="I94" i="2" s="1"/>
  <c r="H8" i="2" a="1"/>
  <c r="H8" i="2" s="1"/>
  <c r="H14" i="2" a="1"/>
  <c r="H14" i="2" s="1"/>
  <c r="H21" i="2" a="1"/>
  <c r="H21" i="2" s="1"/>
  <c r="H40" i="2" a="1"/>
  <c r="H40" i="2" s="1"/>
  <c r="H46" i="2" a="1"/>
  <c r="H46" i="2" s="1"/>
  <c r="H51" i="2" a="1"/>
  <c r="H51" i="2" s="1"/>
  <c r="H71" i="2" a="1"/>
  <c r="H71" i="2" s="1"/>
  <c r="H78" i="2" a="1"/>
  <c r="H78" i="2" s="1"/>
  <c r="H83" i="2" a="1"/>
  <c r="H83" i="2" s="1"/>
  <c r="H90" i="2" a="1"/>
  <c r="H90" i="2" s="1"/>
  <c r="G11" i="2"/>
  <c r="G19" i="2"/>
  <c r="G29" i="2"/>
  <c r="G39" i="2"/>
  <c r="G48" i="2"/>
  <c r="G58" i="2"/>
  <c r="G64" i="2"/>
  <c r="G71" i="2"/>
  <c r="G79" i="2"/>
  <c r="G86" i="2"/>
  <c r="G92" i="2"/>
  <c r="F6" i="2"/>
  <c r="F13" i="2"/>
  <c r="F20" i="2"/>
  <c r="F28" i="2"/>
  <c r="F34" i="2"/>
  <c r="F41" i="2"/>
  <c r="F49" i="2"/>
  <c r="F56" i="2"/>
  <c r="F62" i="2"/>
  <c r="F70" i="2"/>
  <c r="F77" i="2"/>
  <c r="F83" i="2"/>
  <c r="F89" i="2"/>
  <c r="F94" i="2"/>
  <c r="C7" i="2"/>
  <c r="D7" i="2" s="1"/>
  <c r="C13" i="2"/>
  <c r="D13" i="2" s="1"/>
  <c r="E13" i="2" s="1"/>
  <c r="C18" i="2"/>
  <c r="D18" i="2" s="1"/>
  <c r="E18" i="2" s="1"/>
  <c r="C23" i="2"/>
  <c r="D23" i="2" s="1"/>
  <c r="E23" i="2" s="1"/>
  <c r="C29" i="2"/>
  <c r="D29" i="2" s="1"/>
  <c r="C34" i="2"/>
  <c r="D34" i="2" s="1"/>
  <c r="C39" i="2"/>
  <c r="D39" i="2" s="1"/>
  <c r="C45" i="2"/>
  <c r="D45" i="2" s="1"/>
  <c r="E45" i="2" s="1"/>
  <c r="C50" i="2"/>
  <c r="D50" i="2" s="1"/>
  <c r="C55" i="2"/>
  <c r="D55" i="2" s="1"/>
  <c r="C61" i="2"/>
  <c r="D61" i="2" s="1"/>
  <c r="E61" i="2" s="1"/>
  <c r="C66" i="2"/>
  <c r="D66" i="2" s="1"/>
  <c r="E66" i="2" s="1"/>
  <c r="C71" i="2"/>
  <c r="D71" i="2" s="1"/>
  <c r="E71" i="2" s="1"/>
  <c r="C77" i="2"/>
  <c r="D77" i="2" s="1"/>
  <c r="E77" i="2" s="1"/>
  <c r="C82" i="2"/>
  <c r="D82" i="2" s="1"/>
  <c r="E82" i="2" s="1"/>
  <c r="C87" i="2"/>
  <c r="D87" i="2" s="1"/>
  <c r="E87" i="2" s="1"/>
  <c r="C93" i="2"/>
  <c r="D93" i="2" s="1"/>
  <c r="B4" i="2"/>
  <c r="I12" i="2" a="1"/>
  <c r="I12" i="2" s="1"/>
  <c r="I27" i="2" a="1"/>
  <c r="I27" i="2" s="1"/>
  <c r="I67" i="2" a="1"/>
  <c r="I67" i="2" s="1"/>
  <c r="I76" i="2" a="1"/>
  <c r="I76" i="2" s="1"/>
  <c r="H3" i="2" a="1"/>
  <c r="H3" i="2" s="1"/>
  <c r="H16" i="2" a="1"/>
  <c r="H16" i="2" s="1"/>
  <c r="H22" i="2" a="1"/>
  <c r="H22" i="2" s="1"/>
  <c r="H35" i="2" a="1"/>
  <c r="H35" i="2" s="1"/>
  <c r="H47" i="2" a="1"/>
  <c r="H47" i="2" s="1"/>
  <c r="H54" i="2" a="1"/>
  <c r="H54" i="2" s="1"/>
  <c r="H66" i="2" a="1"/>
  <c r="H66" i="2" s="1"/>
  <c r="H79" i="2" a="1"/>
  <c r="H79" i="2" s="1"/>
  <c r="H85" i="2" a="1"/>
  <c r="H85" i="2" s="1"/>
  <c r="G3" i="2"/>
  <c r="G12" i="2"/>
  <c r="G23" i="2"/>
  <c r="G32" i="2"/>
  <c r="G40" i="2"/>
  <c r="G51" i="2"/>
  <c r="G59" i="2"/>
  <c r="G66" i="2"/>
  <c r="G74" i="2"/>
  <c r="G80" i="2"/>
  <c r="G87" i="2"/>
  <c r="G95" i="2"/>
  <c r="F8" i="2"/>
  <c r="F14" i="2"/>
  <c r="F22" i="2"/>
  <c r="F29" i="2"/>
  <c r="F36" i="2"/>
  <c r="F44" i="2"/>
  <c r="F50" i="2"/>
  <c r="F57" i="2"/>
  <c r="F65" i="2"/>
  <c r="F72" i="2"/>
  <c r="F78" i="2"/>
  <c r="F85" i="2"/>
  <c r="F90" i="2"/>
  <c r="F95" i="2"/>
  <c r="C3" i="2"/>
  <c r="D3" i="2" s="1"/>
  <c r="E3" i="2" s="1"/>
  <c r="I6" i="2" a="1"/>
  <c r="I6" i="2" s="1"/>
  <c r="I33" i="2" a="1"/>
  <c r="I33" i="2" s="1"/>
  <c r="I62" i="2" a="1"/>
  <c r="I62" i="2" s="1"/>
  <c r="I81" i="2" a="1"/>
  <c r="I81" i="2" s="1"/>
  <c r="H11" i="2" a="1"/>
  <c r="H11" i="2" s="1"/>
  <c r="H23" i="2" a="1"/>
  <c r="H23" i="2" s="1"/>
  <c r="H50" i="2" a="1"/>
  <c r="H50" i="2" s="1"/>
  <c r="H61" i="2" a="1"/>
  <c r="H61" i="2" s="1"/>
  <c r="H87" i="2" a="1"/>
  <c r="H87" i="2" s="1"/>
  <c r="G5" i="2"/>
  <c r="G24" i="2"/>
  <c r="G44" i="2"/>
  <c r="G60" i="2"/>
  <c r="G75" i="2"/>
  <c r="G90" i="2"/>
  <c r="F9" i="2"/>
  <c r="F24" i="2"/>
  <c r="F38" i="2"/>
  <c r="F52" i="2"/>
  <c r="F66" i="2"/>
  <c r="F81" i="2"/>
  <c r="F91" i="2"/>
  <c r="C9" i="2"/>
  <c r="D9" i="2" s="1"/>
  <c r="E9" i="2" s="1"/>
  <c r="C15" i="2"/>
  <c r="D15" i="2" s="1"/>
  <c r="C22" i="2"/>
  <c r="D22" i="2" s="1"/>
  <c r="C30" i="2"/>
  <c r="D30" i="2" s="1"/>
  <c r="E30" i="2" s="1"/>
  <c r="C37" i="2"/>
  <c r="D37" i="2" s="1"/>
  <c r="E37" i="2" s="1"/>
  <c r="C43" i="2"/>
  <c r="D43" i="2" s="1"/>
  <c r="C51" i="2"/>
  <c r="D51" i="2" s="1"/>
  <c r="E51" i="2" s="1"/>
  <c r="C58" i="2"/>
  <c r="D58" i="2" s="1"/>
  <c r="E58" i="2" s="1"/>
  <c r="C65" i="2"/>
  <c r="D65" i="2" s="1"/>
  <c r="C73" i="2"/>
  <c r="D73" i="2" s="1"/>
  <c r="C79" i="2"/>
  <c r="D79" i="2" s="1"/>
  <c r="E79" i="2" s="1"/>
  <c r="C86" i="2"/>
  <c r="D86" i="2" s="1"/>
  <c r="E86" i="2" s="1"/>
  <c r="C94" i="2"/>
  <c r="D94" i="2" s="1"/>
  <c r="E94" i="2" s="1"/>
  <c r="B7" i="2"/>
  <c r="B12" i="2"/>
  <c r="B17" i="2"/>
  <c r="B23" i="2"/>
  <c r="B28" i="2"/>
  <c r="B33" i="2"/>
  <c r="B39" i="2"/>
  <c r="B44" i="2"/>
  <c r="B49" i="2"/>
  <c r="B55" i="2"/>
  <c r="B60" i="2"/>
  <c r="B65" i="2"/>
  <c r="B71" i="2"/>
  <c r="B76" i="2"/>
  <c r="B81" i="2"/>
  <c r="B87" i="2"/>
  <c r="B92" i="2"/>
  <c r="I17" i="2" a="1"/>
  <c r="I17" i="2" s="1"/>
  <c r="I46" i="2" a="1"/>
  <c r="I46" i="2" s="1"/>
  <c r="I70" i="2" a="1"/>
  <c r="I70" i="2" s="1"/>
  <c r="H26" i="2" a="1"/>
  <c r="H26" i="2" s="1"/>
  <c r="H37" i="2" a="1"/>
  <c r="H37" i="2" s="1"/>
  <c r="H64" i="2" a="1"/>
  <c r="H64" i="2" s="1"/>
  <c r="H75" i="2" a="1"/>
  <c r="H75" i="2" s="1"/>
  <c r="B95" i="2"/>
  <c r="B88" i="2"/>
  <c r="B80" i="2"/>
  <c r="B73" i="2"/>
  <c r="B67" i="2"/>
  <c r="B59" i="2"/>
  <c r="B52" i="2"/>
  <c r="B45" i="2"/>
  <c r="B37" i="2"/>
  <c r="B31" i="2"/>
  <c r="B24" i="2"/>
  <c r="B16" i="2"/>
  <c r="B9" i="2"/>
  <c r="C95" i="2"/>
  <c r="D95" i="2" s="1"/>
  <c r="E95" i="2" s="1"/>
  <c r="C85" i="2"/>
  <c r="D85" i="2" s="1"/>
  <c r="E85" i="2" s="1"/>
  <c r="C75" i="2"/>
  <c r="D75" i="2" s="1"/>
  <c r="C67" i="2"/>
  <c r="D67" i="2" s="1"/>
  <c r="E67" i="2" s="1"/>
  <c r="C57" i="2"/>
  <c r="D57" i="2" s="1"/>
  <c r="E57" i="2" s="1"/>
  <c r="C47" i="2"/>
  <c r="D47" i="2" s="1"/>
  <c r="E47" i="2" s="1"/>
  <c r="C38" i="2"/>
  <c r="D38" i="2" s="1"/>
  <c r="C27" i="2"/>
  <c r="D27" i="2" s="1"/>
  <c r="C19" i="2"/>
  <c r="D19" i="2" s="1"/>
  <c r="C10" i="2"/>
  <c r="D10" i="2" s="1"/>
  <c r="E10" i="2" s="1"/>
  <c r="F82" i="2"/>
  <c r="F61" i="2"/>
  <c r="F45" i="2"/>
  <c r="F25" i="2"/>
  <c r="F4" i="2"/>
  <c r="G82" i="2"/>
  <c r="G63" i="2"/>
  <c r="G37" i="2"/>
  <c r="G16" i="2"/>
  <c r="H32" i="2" a="1"/>
  <c r="H32" i="2" s="1"/>
  <c r="H7" i="2" a="1"/>
  <c r="H7" i="2" s="1"/>
  <c r="I3" i="2" a="1"/>
  <c r="I3" i="2" s="1"/>
  <c r="B93" i="2"/>
  <c r="B72" i="2"/>
  <c r="B43" i="2"/>
  <c r="B15" i="2"/>
  <c r="C83" i="2"/>
  <c r="D83" i="2" s="1"/>
  <c r="E83" i="2" s="1"/>
  <c r="C54" i="2"/>
  <c r="D54" i="2" s="1"/>
  <c r="C35" i="2"/>
  <c r="D35" i="2" s="1"/>
  <c r="E35" i="2" s="1"/>
  <c r="C6" i="2"/>
  <c r="D6" i="2" s="1"/>
  <c r="E6" i="2" s="1"/>
  <c r="F76" i="2"/>
  <c r="F60" i="2"/>
  <c r="F18" i="2"/>
  <c r="G96" i="2"/>
  <c r="G76" i="2"/>
  <c r="G55" i="2"/>
  <c r="G33" i="2"/>
  <c r="G8" i="2"/>
  <c r="H80" i="2" a="1"/>
  <c r="H80" i="2" s="1"/>
  <c r="H55" i="2" a="1"/>
  <c r="H55" i="2" s="1"/>
  <c r="H30" i="2" a="1"/>
  <c r="H30" i="2" s="1"/>
  <c r="I91" i="2" a="1"/>
  <c r="I91" i="2" s="1"/>
  <c r="E11" i="2" l="1"/>
  <c r="E21" i="2"/>
  <c r="E52" i="2"/>
  <c r="H2" i="2" a="1"/>
  <c r="H2" i="2" s="1"/>
  <c r="C8" i="3"/>
  <c r="C9" i="3"/>
  <c r="I2" i="2" a="1"/>
  <c r="I2" i="2" s="1"/>
  <c r="G2" i="2"/>
  <c r="F2" i="2"/>
  <c r="C2" i="2"/>
  <c r="D2" i="2" s="1"/>
  <c r="E2" i="2" s="1"/>
  <c r="B2" i="2"/>
  <c r="E49" i="2"/>
  <c r="E25" i="2"/>
  <c r="E62" i="2"/>
  <c r="E26" i="2"/>
  <c r="E91" i="2"/>
  <c r="E17" i="2"/>
  <c r="E39" i="2"/>
  <c r="E80" i="2"/>
  <c r="E64" i="2"/>
  <c r="E16" i="2"/>
  <c r="E54" i="2"/>
  <c r="E27" i="2"/>
  <c r="E73" i="2"/>
  <c r="E43" i="2"/>
  <c r="E15" i="2"/>
  <c r="E55" i="2"/>
  <c r="E34" i="2"/>
  <c r="E92" i="2"/>
  <c r="E76" i="2"/>
  <c r="E60" i="2"/>
  <c r="E44" i="2"/>
  <c r="E28" i="2"/>
  <c r="E12" i="2"/>
  <c r="E59" i="2"/>
  <c r="E33" i="2"/>
  <c r="E70" i="2"/>
  <c r="E46" i="2"/>
  <c r="E19" i="2"/>
  <c r="E22" i="2"/>
  <c r="E38" i="2"/>
  <c r="E75" i="2"/>
  <c r="E65" i="2"/>
  <c r="E93" i="2"/>
  <c r="E50" i="2"/>
  <c r="E29" i="2"/>
  <c r="E7" i="2"/>
  <c r="E88" i="2"/>
  <c r="E72" i="2"/>
  <c r="E56" i="2"/>
  <c r="E24" i="2"/>
  <c r="E31" i="2"/>
  <c r="E5" i="2"/>
  <c r="E42" i="2"/>
  <c r="E81" i="2"/>
  <c r="E63" i="2"/>
  <c r="K13" i="2" l="1"/>
  <c r="K1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9B40E6-BC1F-49DB-9E7F-E1D1CD54C5DD}" keepAlive="1" name="Query - excel_project" description="Connection to the 'excel_project' query in the workbook." type="5" refreshedVersion="8" background="1" saveData="1">
    <dbPr connection="Provider=Microsoft.Mashup.OleDb.1;Data Source=$Workbook$;Location=excel_project;Extended Properties=&quot;&quot;" command="SELECT * FROM [excel_project]"/>
  </connection>
  <connection id="2" xr16:uid="{D5690ABD-36A4-4F78-AD9E-FC50CC51783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E330D745-A437-469E-82C7-63E65349971B}"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081917F3-9A30-4842-A598-814323D4D62A}"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93D169C2-0F73-4A33-BE42-98F4CBD8A33D}"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<sst xmlns="http://schemas.openxmlformats.org/spreadsheetml/2006/main" count="290" uniqueCount="162">
  <si>
    <t>Contact_ID</t>
  </si>
  <si>
    <t>Contact_Number</t>
  </si>
  <si>
    <t>Gender</t>
  </si>
  <si>
    <t>Days with messages</t>
  </si>
  <si>
    <t>Total Messages</t>
  </si>
  <si>
    <t>My Messages</t>
  </si>
  <si>
    <t>Your Messages</t>
  </si>
  <si>
    <t>Doc Sent</t>
  </si>
  <si>
    <t>Doc Received</t>
  </si>
  <si>
    <t>Voice Note Sent</t>
  </si>
  <si>
    <t>Voice Note Received</t>
  </si>
  <si>
    <t>Call Sent</t>
  </si>
  <si>
    <t>Call Sent (Answered)</t>
  </si>
  <si>
    <t>Call Received</t>
  </si>
  <si>
    <t>Call Received (Answered)</t>
  </si>
  <si>
    <t>Call Duration (min)</t>
  </si>
  <si>
    <t>Messages Deleted (By Me)</t>
  </si>
  <si>
    <t>Messages Deleted (By You)</t>
  </si>
  <si>
    <t>My Reactions</t>
  </si>
  <si>
    <t>Your Reactions</t>
  </si>
  <si>
    <t>My Stickers</t>
  </si>
  <si>
    <t>Your Stickers</t>
  </si>
  <si>
    <t>My Emojis</t>
  </si>
  <si>
    <t>Your Emojis</t>
  </si>
  <si>
    <t>Links Sent</t>
  </si>
  <si>
    <t>Links Received</t>
  </si>
  <si>
    <t>Media Sent</t>
  </si>
  <si>
    <t>Media Received</t>
  </si>
  <si>
    <t>10M</t>
  </si>
  <si>
    <t>M</t>
  </si>
  <si>
    <t>11M</t>
  </si>
  <si>
    <t>12M</t>
  </si>
  <si>
    <t>13M</t>
  </si>
  <si>
    <t>14M</t>
  </si>
  <si>
    <t>15M</t>
  </si>
  <si>
    <t>16M</t>
  </si>
  <si>
    <t>17M</t>
  </si>
  <si>
    <t>18M</t>
  </si>
  <si>
    <t>19M</t>
  </si>
  <si>
    <t>1M</t>
  </si>
  <si>
    <t>20M</t>
  </si>
  <si>
    <t>21M</t>
  </si>
  <si>
    <t>22M</t>
  </si>
  <si>
    <t>23M</t>
  </si>
  <si>
    <t>24M</t>
  </si>
  <si>
    <t>25M</t>
  </si>
  <si>
    <t>26M</t>
  </si>
  <si>
    <t>27M</t>
  </si>
  <si>
    <t>28M</t>
  </si>
  <si>
    <t>29M</t>
  </si>
  <si>
    <t>2M</t>
  </si>
  <si>
    <t>30M</t>
  </si>
  <si>
    <t>31M</t>
  </si>
  <si>
    <t>32M</t>
  </si>
  <si>
    <t>33M</t>
  </si>
  <si>
    <t>34M</t>
  </si>
  <si>
    <t>35M</t>
  </si>
  <si>
    <t>36M</t>
  </si>
  <si>
    <t>37M</t>
  </si>
  <si>
    <t>38M</t>
  </si>
  <si>
    <t>39M</t>
  </si>
  <si>
    <t>3F</t>
  </si>
  <si>
    <t>F</t>
  </si>
  <si>
    <t>40M</t>
  </si>
  <si>
    <t>41F</t>
  </si>
  <si>
    <t>42M</t>
  </si>
  <si>
    <t>43M</t>
  </si>
  <si>
    <t>44M</t>
  </si>
  <si>
    <t>45M</t>
  </si>
  <si>
    <t>46M</t>
  </si>
  <si>
    <t>47M</t>
  </si>
  <si>
    <t>48F</t>
  </si>
  <si>
    <t>49M</t>
  </si>
  <si>
    <t>4F</t>
  </si>
  <si>
    <t>50M</t>
  </si>
  <si>
    <t>51M</t>
  </si>
  <si>
    <t>52M</t>
  </si>
  <si>
    <t>53M</t>
  </si>
  <si>
    <t>54M</t>
  </si>
  <si>
    <t>55M</t>
  </si>
  <si>
    <t>56M</t>
  </si>
  <si>
    <t>57M</t>
  </si>
  <si>
    <t>58F</t>
  </si>
  <si>
    <t>59F</t>
  </si>
  <si>
    <t>5M</t>
  </si>
  <si>
    <t>60M</t>
  </si>
  <si>
    <t>61M</t>
  </si>
  <si>
    <t>62M</t>
  </si>
  <si>
    <t>63M</t>
  </si>
  <si>
    <t>64M</t>
  </si>
  <si>
    <t>65M</t>
  </si>
  <si>
    <t>66M</t>
  </si>
  <si>
    <t>67M</t>
  </si>
  <si>
    <t>68M</t>
  </si>
  <si>
    <t>69M</t>
  </si>
  <si>
    <t>6M</t>
  </si>
  <si>
    <t>70M</t>
  </si>
  <si>
    <t>71F</t>
  </si>
  <si>
    <t>72F</t>
  </si>
  <si>
    <t>73M</t>
  </si>
  <si>
    <t>74M</t>
  </si>
  <si>
    <t>75M</t>
  </si>
  <si>
    <t>76M</t>
  </si>
  <si>
    <t>77M</t>
  </si>
  <si>
    <t>78M</t>
  </si>
  <si>
    <t>79M</t>
  </si>
  <si>
    <t>7M</t>
  </si>
  <si>
    <t>80M</t>
  </si>
  <si>
    <t>81M</t>
  </si>
  <si>
    <t>82M</t>
  </si>
  <si>
    <t>83M</t>
  </si>
  <si>
    <t>84M</t>
  </si>
  <si>
    <t>85M</t>
  </si>
  <si>
    <t>86F</t>
  </si>
  <si>
    <t>87M</t>
  </si>
  <si>
    <t>88M</t>
  </si>
  <si>
    <t>89F</t>
  </si>
  <si>
    <t>8M</t>
  </si>
  <si>
    <t>90M</t>
  </si>
  <si>
    <t>91M</t>
  </si>
  <si>
    <t>92M</t>
  </si>
  <si>
    <t>93M</t>
  </si>
  <si>
    <t>94M</t>
  </si>
  <si>
    <t>95M</t>
  </si>
  <si>
    <t>9M</t>
  </si>
  <si>
    <t>Contact _Number</t>
  </si>
  <si>
    <t>Gender_Code</t>
  </si>
  <si>
    <t>Gender_Full</t>
  </si>
  <si>
    <t>Contact_Label</t>
  </si>
  <si>
    <t>Contact_ID_Trim</t>
  </si>
  <si>
    <t>ID_Length</t>
  </si>
  <si>
    <t>Activity_Level</t>
  </si>
  <si>
    <t>Gender_Analysis</t>
  </si>
  <si>
    <t>Total _Males</t>
  </si>
  <si>
    <t>Total_Females</t>
  </si>
  <si>
    <t>Total_Males_Messages</t>
  </si>
  <si>
    <t>Total_Females_Messages</t>
  </si>
  <si>
    <t>Avg_Males_Messages</t>
  </si>
  <si>
    <t>Avg_Females_Messages</t>
  </si>
  <si>
    <t>Most_Active_Contacts(Messages)</t>
  </si>
  <si>
    <t>Most_Least_Contacts(Messages)</t>
  </si>
  <si>
    <t>Max_Female_Messages</t>
  </si>
  <si>
    <t>Min_Female_Messages</t>
  </si>
  <si>
    <t>Very_High_Activity_Count</t>
  </si>
  <si>
    <t>High_Activity_Count</t>
  </si>
  <si>
    <t>Communication_Type</t>
  </si>
  <si>
    <t>Contact ID</t>
  </si>
  <si>
    <t>Activity Level</t>
  </si>
  <si>
    <t>Communication Type</t>
  </si>
  <si>
    <t>Rank (Total Messages)</t>
  </si>
  <si>
    <t>Days with Messages</t>
  </si>
  <si>
    <t>Rank</t>
  </si>
  <si>
    <t>Row Labels</t>
  </si>
  <si>
    <t>Grand Total</t>
  </si>
  <si>
    <t>Sum of Total Messages</t>
  </si>
  <si>
    <t>Sum of My Messages</t>
  </si>
  <si>
    <t>Sum of Your Messages</t>
  </si>
  <si>
    <t>High</t>
  </si>
  <si>
    <t>Low</t>
  </si>
  <si>
    <t>Medium</t>
  </si>
  <si>
    <t>Very High</t>
  </si>
  <si>
    <t>Count of Contact_ID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</si>
</sst>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0" fillId="0" borderId="0" xfId="0" pivotButton="1"/>
    <xf numFmtId="0" fontId="0" fillId="0" borderId="0" xfId="0" applyAlignment="1">
      <alignment horizontal="left"/>
    </xf>
  </cellXfs>
  <cellStyles count="1">
    <cellStyle name="Normal" xfId="0" builtinId="0"/>
  </cellStyles>
  <dxfs count="12">
    <dxf>
      <font>
        <color rgb="FF9C0006"/>
      </font>
      <fill>
        <patternFill>
          <bgColor rgb="FFFFC7CE"/>
        </patternFill>
      </fill>
    </dxf>
    <dxf>
      <fill>
        <patternFill>
          <bgColor rgb="FFFF0000"/>
        </patternFill>
      </fill>
    </dxf>
    <dxf>
      <fill>
        <patternFill>
          <bgColor theme="5"/>
        </patternFill>
      </fill>
    </dxf>
    <dxf>
      <fill>
        <patternFill>
          <bgColor rgb="FFFFFF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[Contact_Summary_Table.xlsx]Pivot_Analysis!PivotTable1</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Male vs Female Message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Pivot_Analysis!$B$3</c:f>
              <c:strCache>
                <c:ptCount val="1"/>
                <c:pt idx="0">
                  <c:v>Sum of Total Messages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635-40DE-B714-441FEB91E53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635-40DE-B714-441FEB91E5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Pivot_Analysis!$A$4:$A$6</c:f>
              <c:strCache>
                <c:ptCount val="2"/>
                <c:pt idx="0">
                  <c:v>F</c:v>
                </c:pt>
                <c:pt idx="1">
                  <c:v>M</c:v>
                </c:pt>
              </c:strCache>
            </c:strRef>
          </c:cat>
          <c:val>
            <c:numRef>
              <c:f>Pivot_Analysis!$B$4:$B$6</c:f>
              <c:numCache>
                <c:formatCode>General</c:formatCode>
                <c:ptCount val="2"/>
                <c:pt idx="0">
                  <c:v>843</c:v>
                </c:pt>
                <c:pt idx="1">
                  <c:v>12987</c:v>
                </c:pt>
              </c:numCache>
            </c:numRef>
          </c:val>
          <c:extLst>
            <c:ext xmlns:c16="http://schemas.microsoft.com/office/drawing/2014/chart" uri="{C3380CC4-5D6E-409C-BE32-E72D297353CC}">
              <c16:uniqueId val="{00000000-7DD4-4639-B81F-598AB99F094B}"/>
            </c:ext>
          </c:extLst>
        </c:ser>
        <c:ser>
          <c:idx val="1"/>
          <c:order val="1"/>
          <c:tx>
            <c:strRef>
              <c:f>Pivot_Analysis!$C$3</c:f>
              <c:strCache>
                <c:ptCount val="1"/>
                <c:pt idx="0">
                  <c:v>Sum of My Messages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635-40DE-B714-441FEB91E53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635-40DE-B714-441FEB91E5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Pivot_Analysis!$A$4:$A$6</c:f>
              <c:strCache>
                <c:ptCount val="2"/>
                <c:pt idx="0">
                  <c:v>F</c:v>
                </c:pt>
                <c:pt idx="1">
                  <c:v>M</c:v>
                </c:pt>
              </c:strCache>
            </c:strRef>
          </c:cat>
          <c:val>
            <c:numRef>
              <c:f>Pivot_Analysis!$C$4:$C$6</c:f>
              <c:numCache>
                <c:formatCode>General</c:formatCode>
                <c:ptCount val="2"/>
                <c:pt idx="0">
                  <c:v>478</c:v>
                </c:pt>
                <c:pt idx="1">
                  <c:v>6751</c:v>
                </c:pt>
              </c:numCache>
            </c:numRef>
          </c:val>
          <c:extLst>
            <c:ext xmlns:c16="http://schemas.microsoft.com/office/drawing/2014/chart" uri="{C3380CC4-5D6E-409C-BE32-E72D297353CC}">
              <c16:uniqueId val="{00000001-7DD4-4639-B81F-598AB99F094B}"/>
            </c:ext>
          </c:extLst>
        </c:ser>
        <c:ser>
          <c:idx val="2"/>
          <c:order val="2"/>
          <c:tx>
            <c:strRef>
              <c:f>Pivot_Analysis!$D$3</c:f>
              <c:strCache>
                <c:ptCount val="1"/>
                <c:pt idx="0">
                  <c:v>Sum of Your Messages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635-40DE-B714-441FEB91E53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7635-40DE-B714-441FEB91E5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Pivot_Analysis!$A$4:$A$6</c:f>
              <c:strCache>
                <c:ptCount val="2"/>
                <c:pt idx="0">
                  <c:v>F</c:v>
                </c:pt>
                <c:pt idx="1">
                  <c:v>M</c:v>
                </c:pt>
              </c:strCache>
            </c:strRef>
          </c:cat>
          <c:val>
            <c:numRef>
              <c:f>Pivot_Analysis!$D$4:$D$6</c:f>
              <c:numCache>
                <c:formatCode>General</c:formatCode>
                <c:ptCount val="2"/>
                <c:pt idx="0">
                  <c:v>365</c:v>
                </c:pt>
                <c:pt idx="1">
                  <c:v>6210</c:v>
                </c:pt>
              </c:numCache>
            </c:numRef>
          </c:val>
          <c:extLst>
            <c:ext xmlns:c16="http://schemas.microsoft.com/office/drawing/2014/chart" uri="{C3380CC4-5D6E-409C-BE32-E72D297353CC}">
              <c16:uniqueId val="{00000002-7DD4-4639-B81F-598AB99F09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[Contact_Summary_Table.xlsx]Pivot_Analysis!PivotTable2</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Contacts by Activity Level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Pivot_Analysis!$H$3</c:f>
              <c:strCache>
                <c:ptCount val="1"/>
                <c:pt idx="0">
                  <c:v>Count of Contact_ID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Pivot_Analysis!$G$4:$G$8</c:f>
              <c:strCache>
                <c:ptCount val="4"/>
                <c:pt idx="0">
                  <c:v>High</c:v>
                </c:pt>
                <c:pt idx="1">
                  <c:v>Low</c:v>
                </c:pt>
                <c:pt idx="2">
                  <c:v>Medium</c:v>
                </c:pt>
                <c:pt idx="3">
                  <c:v>Very High</c:v>
                </c:pt>
              </c:strCache>
            </c:strRef>
          </c:cat>
          <c:val>
            <c:numRef>
              <c:f>Pivot_Analysis!$H$4:$H$8</c:f>
              <c:numCache>
                <c:formatCode>General</c:formatCode>
                <c:ptCount val="4"/>
                <c:pt idx="0">
                  <c:v>4</c:v>
                </c:pt>
                <c:pt idx="1">
                  <c:v>70</c:v>
                </c:pt>
                <c:pt idx="2">
                  <c:v>15</c:v>
                </c:pt>
                <c:pt idx="3">
                  <c:v>6</c:v>
                </c:pt>
              </c:numCache>
            </c:numRef>
          </c:val>
          <c:extLst>
            <c:ext xmlns:c16="http://schemas.microsoft.com/office/drawing/2014/chart" uri="{C3380CC4-5D6E-409C-BE32-E72D297353CC}">
              <c16:uniqueId val="{00000000-F9C4-4715-9665-E43707739EA2}"/>
            </c:ext>
          </c:extLst>
        </c:ser>
        <c:ser>
          <c:idx val="1"/>
          <c:order val="1"/>
          <c:tx>
            <c:strRef>
              <c:f>Pivot_Analysis!$I$3</c:f>
              <c:strCache>
                <c:ptCount val="1"/>
                <c:pt idx="0">
                  <c:v>Sum of Total Messages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Pivot_Analysis!$G$4:$G$8</c:f>
              <c:strCache>
                <c:ptCount val="4"/>
                <c:pt idx="0">
                  <c:v>High</c:v>
                </c:pt>
                <c:pt idx="1">
                  <c:v>Low</c:v>
                </c:pt>
                <c:pt idx="2">
                  <c:v>Medium</c:v>
                </c:pt>
                <c:pt idx="3">
                  <c:v>Very High</c:v>
                </c:pt>
              </c:strCache>
            </c:strRef>
          </c:cat>
          <c:val>
            <c:numRef>
              <c:f>Pivot_Analysis!$I$4:$I$8</c:f>
              <c:numCache>
                <c:formatCode>General</c:formatCode>
                <c:ptCount val="4"/>
                <c:pt idx="0">
                  <c:v>1476</c:v>
                </c:pt>
                <c:pt idx="1">
                  <c:v>1677</c:v>
                </c:pt>
                <c:pt idx="2">
                  <c:v>2655</c:v>
                </c:pt>
                <c:pt idx="3">
                  <c:v>8022</c:v>
                </c:pt>
              </c:numCache>
            </c:numRef>
          </c:val>
          <c:extLst>
            <c:ext xmlns:c16="http://schemas.microsoft.com/office/drawing/2014/chart" uri="{C3380CC4-5D6E-409C-BE32-E72D297353CC}">
              <c16:uniqueId val="{00000001-F9C4-4715-9665-E43707739EA2}"/>
            </c:ext>
          </c:extLst>
        </c:ser>
        <c:dLbls>
          <c:dLblPos val="inEnd"/>
          <c:showLegendKey val="0"/>
          <c:showVal val="1"/>
          <c:showCatName val="0"/>
          <c:showSerName val="0"/>
          <c:showPercent val="0"/>
          <c:showBubbleSize val="0"/>
        </c:dLbls>
        <c:gapWidth val="65"/>
        <c:axId val="1952008496"/>
        <c:axId val="1735963456"/>
      </c:barChart>
      <c:catAx>
        <c:axId val="19520084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35963456"/>
        <c:crosses val="autoZero"/>
        <c:auto val="1"/>
        <c:lblAlgn val="ctr"/>
        <c:lblOffset val="100"/>
        <c:noMultiLvlLbl val="0"/>
      </c:catAx>
      <c:valAx>
        <c:axId val="17359634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52008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Most Active Contacts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Rank_Analysis!$B$1</c:f>
              <c:strCache>
                <c:ptCount val="1"/>
                <c:pt idx="0">
                  <c:v>Total Messages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Rank_Analysis!$A$2:$A$11</c:f>
              <c:strCache>
                <c:ptCount val="10"/>
                <c:pt idx="0">
                  <c:v>12M</c:v>
                </c:pt>
                <c:pt idx="1">
                  <c:v>15M</c:v>
                </c:pt>
                <c:pt idx="2">
                  <c:v>2M</c:v>
                </c:pt>
                <c:pt idx="3">
                  <c:v>52M</c:v>
                </c:pt>
                <c:pt idx="4">
                  <c:v>9M</c:v>
                </c:pt>
                <c:pt idx="5">
                  <c:v>18M</c:v>
                </c:pt>
                <c:pt idx="6">
                  <c:v>19M</c:v>
                </c:pt>
                <c:pt idx="7">
                  <c:v>4F</c:v>
                </c:pt>
                <c:pt idx="8">
                  <c:v>16M</c:v>
                </c:pt>
                <c:pt idx="9">
                  <c:v>6M</c:v>
                </c:pt>
              </c:strCache>
            </c:strRef>
          </c:cat>
          <c:val>
            <c:numRef>
              <c:f>Rank_Analysis!$B$2:$B$11</c:f>
              <c:numCache>
                <c:formatCode>General</c:formatCode>
                <c:ptCount val="10"/>
                <c:pt idx="0">
                  <c:v>2420</c:v>
                </c:pt>
                <c:pt idx="1">
                  <c:v>1645</c:v>
                </c:pt>
                <c:pt idx="2">
                  <c:v>1457</c:v>
                </c:pt>
                <c:pt idx="3">
                  <c:v>1036</c:v>
                </c:pt>
                <c:pt idx="4">
                  <c:v>732</c:v>
                </c:pt>
                <c:pt idx="5">
                  <c:v>732</c:v>
                </c:pt>
                <c:pt idx="6">
                  <c:v>414</c:v>
                </c:pt>
                <c:pt idx="7">
                  <c:v>370</c:v>
                </c:pt>
                <c:pt idx="8">
                  <c:v>363</c:v>
                </c:pt>
                <c:pt idx="9">
                  <c:v>329</c:v>
                </c:pt>
              </c:numCache>
            </c:numRef>
          </c:val>
          <c:extLst>
            <c:ext xmlns:c16="http://schemas.microsoft.com/office/drawing/2014/chart" uri="{C3380CC4-5D6E-409C-BE32-E72D297353CC}">
              <c16:uniqueId val="{00000000-FA1E-43B4-9CF4-0D6760EDF532}"/>
            </c:ext>
          </c:extLst>
        </c:ser>
        <c:dLbls>
          <c:showLegendKey val="0"/>
          <c:showVal val="0"/>
          <c:showCatName val="0"/>
          <c:showSerName val="0"/>
          <c:showPercent val="0"/>
          <c:showBubbleSize val="0"/>
        </c:dLbls>
        <c:gapWidth val="355"/>
        <c:overlap val="-70"/>
        <c:axId val="1802319744"/>
        <c:axId val="1801840512"/>
      </c:barChart>
      <c:catAx>
        <c:axId val="18023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40512"/>
        <c:crosses val="autoZero"/>
        <c:auto val="1"/>
        <c:lblAlgn val="ctr"/>
        <c:lblOffset val="100"/>
        <c:noMultiLvlLbl val="0"/>
      </c:catAx>
      <c:valAx>
        <c:axId val="180184051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2319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10</xdr:col>
      <xdr:colOff>601980</xdr:colOff>
      <xdr:row>1</xdr:row>
      <xdr:rowOff>167640</xdr:rowOff>
    </xdr:from>
    <xdr:to>
      <xdr:col>13</xdr:col>
      <xdr:colOff>601980</xdr:colOff>
      <xdr:row>16</xdr:row>
      <xdr:rowOff>5715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178ECA6-F988-28F1-79D0-904124BEE8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76560" y="350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358140</xdr:colOff>
      <xdr:row>8</xdr:row>
      <xdr:rowOff>87630</xdr:rowOff>
    </xdr:from>
    <xdr:to>
      <xdr:col>4</xdr:col>
      <xdr:colOff>182880</xdr:colOff>
      <xdr:row>23</xdr:row>
      <xdr:rowOff>87630</xdr:rowOff>
    </xdr:to>
    <xdr:graphicFrame macro="">
      <xdr:nvGraphicFramePr>
        <xdr:cNvPr id="4" name="Chart 3">
          <a:extLst>
            <a:ext uri="{FF2B5EF4-FFF2-40B4-BE49-F238E27FC236}">
              <a16:creationId xmlns:a16="http://schemas.microsoft.com/office/drawing/2014/main" id="{63479150-155A-1FCF-534D-10FB4E0EC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9</xdr:row>
      <xdr:rowOff>26670</xdr:rowOff>
    </xdr:from>
    <xdr:to>
      <xdr:col>9</xdr:col>
      <xdr:colOff>525780</xdr:colOff>
      <xdr:row>24</xdr:row>
      <xdr:rowOff>26670</xdr:rowOff>
    </xdr:to>
    <xdr:graphicFrame macro="">
      <xdr:nvGraphicFramePr>
        <xdr:cNvPr id="5" name="Contacts by Activity Level">
          <a:extLst>
            <a:ext uri="{FF2B5EF4-FFF2-40B4-BE49-F238E27FC236}">
              <a16:creationId xmlns:a16="http://schemas.microsoft.com/office/drawing/2014/main" id="{8822B4DA-FAB2-FD1E-DB79-564393FB6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434340</xdr:colOff>
      <xdr:row>6</xdr:row>
      <xdr:rowOff>80010</xdr:rowOff>
    </xdr:from>
    <xdr:to>
      <xdr:col>14</xdr:col>
      <xdr:colOff>129540</xdr:colOff>
      <xdr:row>21</xdr:row>
      <xdr:rowOff>80010</xdr:rowOff>
    </xdr:to>
    <xdr:graphicFrame macro="">
      <xdr:nvGraphicFramePr>
        <xdr:cNvPr id="2" name="Chart 1">
          <a:extLst>
            <a:ext uri="{FF2B5EF4-FFF2-40B4-BE49-F238E27FC236}">
              <a16:creationId xmlns:a16="http://schemas.microsoft.com/office/drawing/2014/main" id="{AD98A225-E9C1-B2DD-AD54-654BEB5E2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UZAIR HUSSAIN" refreshedDate="46319.458394791669" createdVersion="8" refreshedVersion="8" minRefreshableVersion="3" recordCount="95" xr:uid="{5818D4A5-F7C8-4DDB-82C2-B615BAB70E63}">
  <cacheSource type="worksheet">
    <worksheetSource name="excel_project"/>
  </cacheSource>
  <cacheFields count="29">
    <cacheField name="Contact_ID" numFmtId="0">
      <sharedItems/>
    </cacheField>
    <cacheField name="Contact_Number" numFmtId="0">
      <sharedItems containsSemiMixedTypes="0" containsString="0" containsNumber="1" containsInteger="1" minValue="1" maxValue="95"/>
    </cacheField>
    <cacheField name="Gender" numFmtId="0">
      <sharedItems count="2">
        <s v="M"/>
        <s v="F"/>
      </sharedItems>
    </cacheField>
    <cacheField name="Days with messages" numFmtId="0">
      <sharedItems containsSemiMixedTypes="0" containsString="0" containsNumber="1" containsInteger="1" minValue="1" maxValue="96"/>
    </cacheField>
    <cacheField name="Total Messages" numFmtId="0">
      <sharedItems containsSemiMixedTypes="0" containsString="0" containsNumber="1" containsInteger="1" minValue="1" maxValue="2420"/>
    </cacheField>
    <cacheField name="My Messages" numFmtId="0">
      <sharedItems containsSemiMixedTypes="0" containsString="0" containsNumber="1" containsInteger="1" minValue="0" maxValue="1136"/>
    </cacheField>
    <cacheField name="Your Messages" numFmtId="0">
      <sharedItems containsSemiMixedTypes="0" containsString="0" containsNumber="1" containsInteger="1" minValue="0" maxValue="1284"/>
    </cacheField>
    <cacheField name="Doc Sent" numFmtId="0">
      <sharedItems containsSemiMixedTypes="0" containsString="0" containsNumber="1" containsInteger="1" minValue="0" maxValue="34"/>
    </cacheField>
    <cacheField name="Doc Received" numFmtId="0">
      <sharedItems containsSemiMixedTypes="0" containsString="0" containsNumber="1" containsInteger="1" minValue="0" maxValue="28"/>
    </cacheField>
    <cacheField name="Voice Note Sent" numFmtId="0">
      <sharedItems containsSemiMixedTypes="0" containsString="0" containsNumber="1" containsInteger="1" minValue="0" maxValue="76"/>
    </cacheField>
    <cacheField name="Voice Note Received" numFmtId="0">
      <sharedItems containsSemiMixedTypes="0" containsString="0" containsNumber="1" containsInteger="1" minValue="0" maxValue="93"/>
    </cacheField>
    <cacheField name="Call Sent" numFmtId="0">
      <sharedItems containsSemiMixedTypes="0" containsString="0" containsNumber="1" containsInteger="1" minValue="0" maxValue="8"/>
    </cacheField>
    <cacheField name="Call Sent (Answered)" numFmtId="0">
      <sharedItems containsSemiMixedTypes="0" containsString="0" containsNumber="1" containsInteger="1" minValue="0" maxValue="7"/>
    </cacheField>
    <cacheField name="Call Received" numFmtId="0">
      <sharedItems containsSemiMixedTypes="0" containsString="0" containsNumber="1" containsInteger="1" minValue="0" maxValue="87"/>
    </cacheField>
    <cacheField name="Call Received (Answered)" numFmtId="0">
      <sharedItems containsSemiMixedTypes="0" containsString="0" containsNumber="1" containsInteger="1" minValue="0" maxValue="9"/>
    </cacheField>
    <cacheField name="Call Duration (min)" numFmtId="0">
      <sharedItems containsSemiMixedTypes="0" containsString="0" containsNumber="1" minValue="0" maxValue="88.5"/>
    </cacheField>
    <cacheField name="Messages Deleted (By Me)" numFmtId="0">
      <sharedItems containsSemiMixedTypes="0" containsString="0" containsNumber="1" containsInteger="1" minValue="0" maxValue="16"/>
    </cacheField>
    <cacheField name="Messages Deleted (By You)" numFmtId="0">
      <sharedItems containsSemiMixedTypes="0" containsString="0" containsNumber="1" containsInteger="1" minValue="0" maxValue="50"/>
    </cacheField>
    <cacheField name="My Reactions" numFmtId="0">
      <sharedItems containsSemiMixedTypes="0" containsString="0" containsNumber="1" containsInteger="1" minValue="0" maxValue="37"/>
    </cacheField>
    <cacheField name="Your Reactions" numFmtId="0">
      <sharedItems containsSemiMixedTypes="0" containsString="0" containsNumber="1" containsInteger="1" minValue="0" maxValue="76"/>
    </cacheField>
    <cacheField name="My Stickers" numFmtId="0">
      <sharedItems containsSemiMixedTypes="0" containsString="0" containsNumber="1" containsInteger="1" minValue="0" maxValue="0"/>
    </cacheField>
    <cacheField name="Your Stickers" numFmtId="0">
      <sharedItems containsSemiMixedTypes="0" containsString="0" containsNumber="1" containsInteger="1" minValue="0" maxValue="9"/>
    </cacheField>
    <cacheField name="My Emojis" numFmtId="0">
      <sharedItems containsSemiMixedTypes="0" containsString="0" containsNumber="1" containsInteger="1" minValue="0" maxValue="1"/>
    </cacheField>
    <cacheField name="Your Emojis" numFmtId="0">
      <sharedItems containsSemiMixedTypes="0" containsString="0" containsNumber="1" containsInteger="1" minValue="0" maxValue="26"/>
    </cacheField>
    <cacheField name="Links Sent" numFmtId="0">
      <sharedItems containsSemiMixedTypes="0" containsString="0" containsNumber="1" containsInteger="1" minValue="0" maxValue="4"/>
    </cacheField>
    <cacheField name="Links Received" numFmtId="0">
      <sharedItems containsSemiMixedTypes="0" containsString="0" containsNumber="1" containsInteger="1" minValue="0" maxValue="10"/>
    </cacheField>
    <cacheField name="Media Sent" numFmtId="0">
      <sharedItems containsSemiMixedTypes="0" containsString="0" containsNumber="1" containsInteger="1" minValue="0" maxValue="42"/>
    </cacheField>
    <cacheField name="Media Received" numFmtId="0">
      <sharedItems containsSemiMixedTypes="0" containsString="0" containsNumber="1" containsInteger="1" minValue="0" maxValue="9"/>
    </cacheField>
    <cacheField name="Activity_Level" numFmtId="0">
      <sharedItems count="4">
        <s v="Medium"/>
        <s v="Very High"/>
        <s v="High"/>
        <s v="Low"/>
      </sharedItems>
    </cacheField>
  </cacheFields>
  <extLst>
    <ext xmlns:x14="http://schemas.microsoft.com/office/spreadsheetml/2009/9/main" uri="{725AE2AE-9491-48be-B2B4-4EB974FC3084}">
      <x14:pivotCacheDefinition pivotCacheId="7406889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1M"/>
    <n v="1"/>
    <x v="0"/>
    <n v="16"/>
    <n v="183"/>
    <n v="125"/>
    <n v="58"/>
    <n v="0"/>
    <n v="0"/>
    <n v="28"/>
    <n v="24"/>
    <n v="1"/>
    <n v="1"/>
    <n v="0"/>
    <n v="0"/>
    <n v="0.85"/>
    <n v="3"/>
    <n v="0"/>
    <n v="0"/>
    <n v="0"/>
    <n v="0"/>
    <n v="0"/>
    <n v="0"/>
    <n v="1"/>
    <n v="0"/>
    <n v="0"/>
    <n v="42"/>
    <n v="1"/>
    <x v="0"/>
  </r>
  <r>
    <s v="2M"/>
    <n v="2"/>
    <x v="0"/>
    <n v="84"/>
    <n v="1457"/>
    <n v="777"/>
    <n v="680"/>
    <n v="8"/>
    <n v="4"/>
    <n v="17"/>
    <n v="5"/>
    <n v="2"/>
    <n v="2"/>
    <n v="7"/>
    <n v="0"/>
    <n v="0.64"/>
    <n v="7"/>
    <n v="3"/>
    <n v="37"/>
    <n v="22"/>
    <n v="0"/>
    <n v="0"/>
    <n v="1"/>
    <n v="2"/>
    <n v="2"/>
    <n v="2"/>
    <n v="14"/>
    <n v="2"/>
    <x v="1"/>
  </r>
  <r>
    <s v="3F"/>
    <n v="3"/>
    <x v="1"/>
    <n v="61"/>
    <n v="210"/>
    <n v="147"/>
    <n v="63"/>
    <n v="0"/>
    <n v="0"/>
    <n v="2"/>
    <n v="7"/>
    <n v="0"/>
    <n v="0"/>
    <n v="29"/>
    <n v="1"/>
    <n v="0.47"/>
    <n v="5"/>
    <n v="2"/>
    <n v="0"/>
    <n v="1"/>
    <n v="0"/>
    <n v="1"/>
    <n v="0"/>
    <n v="1"/>
    <n v="2"/>
    <n v="0"/>
    <n v="5"/>
    <n v="5"/>
    <x v="0"/>
  </r>
  <r>
    <s v="4F"/>
    <n v="4"/>
    <x v="1"/>
    <n v="37"/>
    <n v="370"/>
    <n v="208"/>
    <n v="162"/>
    <n v="1"/>
    <n v="1"/>
    <n v="0"/>
    <n v="0"/>
    <n v="0"/>
    <n v="0"/>
    <n v="0"/>
    <n v="0"/>
    <n v="0"/>
    <n v="9"/>
    <n v="2"/>
    <n v="4"/>
    <n v="9"/>
    <n v="0"/>
    <n v="0"/>
    <n v="0"/>
    <n v="0"/>
    <n v="1"/>
    <n v="2"/>
    <n v="4"/>
    <n v="1"/>
    <x v="2"/>
  </r>
  <r>
    <s v="5M"/>
    <n v="5"/>
    <x v="0"/>
    <n v="7"/>
    <n v="48"/>
    <n v="27"/>
    <n v="21"/>
    <n v="0"/>
    <n v="0"/>
    <n v="2"/>
    <n v="2"/>
    <n v="0"/>
    <n v="0"/>
    <n v="0"/>
    <n v="0"/>
    <n v="0"/>
    <n v="0"/>
    <n v="0"/>
    <n v="1"/>
    <n v="3"/>
    <n v="0"/>
    <n v="0"/>
    <n v="1"/>
    <n v="1"/>
    <n v="0"/>
    <n v="0"/>
    <n v="0"/>
    <n v="0"/>
    <x v="3"/>
  </r>
  <r>
    <s v="6M"/>
    <n v="6"/>
    <x v="0"/>
    <n v="45"/>
    <n v="329"/>
    <n v="180"/>
    <n v="149"/>
    <n v="4"/>
    <n v="13"/>
    <n v="31"/>
    <n v="24"/>
    <n v="0"/>
    <n v="0"/>
    <n v="1"/>
    <n v="0"/>
    <n v="0"/>
    <n v="0"/>
    <n v="3"/>
    <n v="3"/>
    <n v="3"/>
    <n v="0"/>
    <n v="0"/>
    <n v="0"/>
    <n v="0"/>
    <n v="0"/>
    <n v="10"/>
    <n v="4"/>
    <n v="0"/>
    <x v="2"/>
  </r>
  <r>
    <s v="7M"/>
    <n v="7"/>
    <x v="0"/>
    <n v="4"/>
    <n v="16"/>
    <n v="13"/>
    <n v="3"/>
    <n v="0"/>
    <n v="0"/>
    <n v="2"/>
    <n v="1"/>
    <n v="0"/>
    <n v="0"/>
    <n v="0"/>
    <n v="0"/>
    <n v="0"/>
    <n v="0"/>
    <n v="0"/>
    <n v="0"/>
    <n v="0"/>
    <n v="0"/>
    <n v="0"/>
    <n v="0"/>
    <n v="0"/>
    <n v="0"/>
    <n v="0"/>
    <n v="1"/>
    <n v="1"/>
    <x v="3"/>
  </r>
  <r>
    <s v="8M"/>
    <n v="8"/>
    <x v="0"/>
    <n v="3"/>
    <n v="20"/>
    <n v="10"/>
    <n v="10"/>
    <n v="0"/>
    <n v="0"/>
    <n v="2"/>
    <n v="2"/>
    <n v="0"/>
    <n v="0"/>
    <n v="0"/>
    <n v="0"/>
    <n v="0"/>
    <n v="0"/>
    <n v="0"/>
    <n v="0"/>
    <n v="1"/>
    <n v="0"/>
    <n v="0"/>
    <n v="0"/>
    <n v="0"/>
    <n v="0"/>
    <n v="0"/>
    <n v="0"/>
    <n v="0"/>
    <x v="3"/>
  </r>
  <r>
    <s v="9M"/>
    <n v="9"/>
    <x v="0"/>
    <n v="55"/>
    <n v="732"/>
    <n v="440"/>
    <n v="291"/>
    <n v="22"/>
    <n v="3"/>
    <n v="35"/>
    <n v="0"/>
    <n v="4"/>
    <n v="0"/>
    <n v="15"/>
    <n v="2"/>
    <n v="0.77"/>
    <n v="0"/>
    <n v="0"/>
    <n v="5"/>
    <n v="9"/>
    <n v="0"/>
    <n v="0"/>
    <n v="0"/>
    <n v="0"/>
    <n v="1"/>
    <n v="0"/>
    <n v="27"/>
    <n v="1"/>
    <x v="1"/>
  </r>
  <r>
    <s v="10M"/>
    <n v="10"/>
    <x v="0"/>
    <n v="7"/>
    <n v="50"/>
    <n v="30"/>
    <n v="20"/>
    <n v="1"/>
    <n v="2"/>
    <n v="0"/>
    <n v="0"/>
    <n v="0"/>
    <n v="0"/>
    <n v="0"/>
    <n v="0"/>
    <n v="0"/>
    <n v="0"/>
    <n v="0"/>
    <n v="1"/>
    <n v="5"/>
    <n v="0"/>
    <n v="0"/>
    <n v="0"/>
    <n v="0"/>
    <n v="0"/>
    <n v="0"/>
    <n v="2"/>
    <n v="0"/>
    <x v="3"/>
  </r>
  <r>
    <s v="11M"/>
    <n v="11"/>
    <x v="0"/>
    <n v="15"/>
    <n v="123"/>
    <n v="69"/>
    <n v="54"/>
    <n v="0"/>
    <n v="0"/>
    <n v="0"/>
    <n v="1"/>
    <n v="0"/>
    <n v="0"/>
    <n v="0"/>
    <n v="0"/>
    <n v="0"/>
    <n v="0"/>
    <n v="0"/>
    <n v="0"/>
    <n v="0"/>
    <n v="0"/>
    <n v="0"/>
    <n v="0"/>
    <n v="0"/>
    <n v="0"/>
    <n v="1"/>
    <n v="2"/>
    <n v="0"/>
    <x v="0"/>
  </r>
  <r>
    <s v="12M"/>
    <n v="12"/>
    <x v="0"/>
    <n v="96"/>
    <n v="2420"/>
    <n v="1136"/>
    <n v="1284"/>
    <n v="10"/>
    <n v="10"/>
    <n v="16"/>
    <n v="20"/>
    <n v="8"/>
    <n v="7"/>
    <n v="87"/>
    <n v="9"/>
    <n v="70.209999999999994"/>
    <n v="16"/>
    <n v="50"/>
    <n v="27"/>
    <n v="76"/>
    <n v="0"/>
    <n v="4"/>
    <n v="1"/>
    <n v="26"/>
    <n v="4"/>
    <n v="8"/>
    <n v="19"/>
    <n v="9"/>
    <x v="1"/>
  </r>
  <r>
    <s v="13M"/>
    <n v="13"/>
    <x v="0"/>
    <n v="9"/>
    <n v="29"/>
    <n v="17"/>
    <n v="12"/>
    <n v="0"/>
    <n v="1"/>
    <n v="0"/>
    <n v="0"/>
    <n v="0"/>
    <n v="0"/>
    <n v="0"/>
    <n v="0"/>
    <n v="0"/>
    <n v="0"/>
    <n v="0"/>
    <n v="0"/>
    <n v="0"/>
    <n v="0"/>
    <n v="0"/>
    <n v="0"/>
    <n v="0"/>
    <n v="0"/>
    <n v="0"/>
    <n v="1"/>
    <n v="0"/>
    <x v="3"/>
  </r>
  <r>
    <s v="14M"/>
    <n v="14"/>
    <x v="0"/>
    <n v="9"/>
    <n v="81"/>
    <n v="48"/>
    <n v="33"/>
    <n v="1"/>
    <n v="1"/>
    <n v="0"/>
    <n v="0"/>
    <n v="0"/>
    <n v="0"/>
    <n v="0"/>
    <n v="0"/>
    <n v="0"/>
    <n v="0"/>
    <n v="0"/>
    <n v="3"/>
    <n v="4"/>
    <n v="0"/>
    <n v="0"/>
    <n v="0"/>
    <n v="1"/>
    <n v="0"/>
    <n v="0"/>
    <n v="0"/>
    <n v="3"/>
    <x v="3"/>
  </r>
  <r>
    <s v="15M"/>
    <n v="15"/>
    <x v="0"/>
    <n v="80"/>
    <n v="1645"/>
    <n v="744"/>
    <n v="879"/>
    <n v="10"/>
    <n v="24"/>
    <n v="48"/>
    <n v="25"/>
    <n v="1"/>
    <n v="0"/>
    <n v="8"/>
    <n v="0"/>
    <n v="0"/>
    <n v="6"/>
    <n v="4"/>
    <n v="8"/>
    <n v="15"/>
    <n v="0"/>
    <n v="0"/>
    <n v="0"/>
    <n v="1"/>
    <n v="2"/>
    <n v="6"/>
    <n v="12"/>
    <n v="7"/>
    <x v="1"/>
  </r>
  <r>
    <s v="16M"/>
    <n v="16"/>
    <x v="0"/>
    <n v="35"/>
    <n v="363"/>
    <n v="228"/>
    <n v="135"/>
    <n v="6"/>
    <n v="1"/>
    <n v="8"/>
    <n v="0"/>
    <n v="0"/>
    <n v="0"/>
    <n v="0"/>
    <n v="0"/>
    <n v="0"/>
    <n v="1"/>
    <n v="0"/>
    <n v="7"/>
    <n v="14"/>
    <n v="0"/>
    <n v="0"/>
    <n v="0"/>
    <n v="3"/>
    <n v="0"/>
    <n v="1"/>
    <n v="5"/>
    <n v="4"/>
    <x v="2"/>
  </r>
  <r>
    <s v="17M"/>
    <n v="17"/>
    <x v="0"/>
    <n v="7"/>
    <n v="54"/>
    <n v="31"/>
    <n v="23"/>
    <n v="0"/>
    <n v="4"/>
    <n v="0"/>
    <n v="0"/>
    <n v="0"/>
    <n v="0"/>
    <n v="0"/>
    <n v="0"/>
    <n v="0"/>
    <n v="0"/>
    <n v="0"/>
    <n v="2"/>
    <n v="2"/>
    <n v="0"/>
    <n v="0"/>
    <n v="0"/>
    <n v="0"/>
    <n v="0"/>
    <n v="0"/>
    <n v="0"/>
    <n v="1"/>
    <x v="3"/>
  </r>
  <r>
    <s v="18M"/>
    <n v="18"/>
    <x v="0"/>
    <n v="53"/>
    <n v="732"/>
    <n v="382"/>
    <n v="350"/>
    <n v="4"/>
    <n v="8"/>
    <n v="76"/>
    <n v="93"/>
    <n v="0"/>
    <n v="0"/>
    <n v="2"/>
    <n v="1"/>
    <n v="60"/>
    <n v="5"/>
    <n v="2"/>
    <n v="6"/>
    <n v="22"/>
    <n v="0"/>
    <n v="4"/>
    <n v="0"/>
    <n v="1"/>
    <n v="2"/>
    <n v="1"/>
    <n v="12"/>
    <n v="8"/>
    <x v="1"/>
  </r>
  <r>
    <s v="19M"/>
    <n v="19"/>
    <x v="0"/>
    <n v="34"/>
    <n v="414"/>
    <n v="215"/>
    <n v="199"/>
    <n v="10"/>
    <n v="6"/>
    <n v="7"/>
    <n v="1"/>
    <n v="1"/>
    <n v="0"/>
    <n v="1"/>
    <n v="0"/>
    <n v="0"/>
    <n v="0"/>
    <n v="2"/>
    <n v="16"/>
    <n v="8"/>
    <n v="0"/>
    <n v="0"/>
    <n v="0"/>
    <n v="3"/>
    <n v="0"/>
    <n v="0"/>
    <n v="11"/>
    <n v="7"/>
    <x v="2"/>
  </r>
  <r>
    <s v="20M"/>
    <n v="20"/>
    <x v="0"/>
    <n v="29"/>
    <n v="239"/>
    <n v="127"/>
    <n v="111"/>
    <n v="8"/>
    <n v="0"/>
    <n v="5"/>
    <n v="0"/>
    <n v="0"/>
    <n v="0"/>
    <n v="2"/>
    <n v="0"/>
    <n v="0"/>
    <n v="0"/>
    <n v="2"/>
    <n v="3"/>
    <n v="3"/>
    <n v="0"/>
    <n v="0"/>
    <n v="0"/>
    <n v="0"/>
    <n v="0"/>
    <n v="0"/>
    <n v="4"/>
    <n v="0"/>
    <x v="0"/>
  </r>
  <r>
    <s v="21M"/>
    <n v="21"/>
    <x v="0"/>
    <n v="5"/>
    <n v="55"/>
    <n v="23"/>
    <n v="32"/>
    <n v="0"/>
    <n v="13"/>
    <n v="0"/>
    <n v="0"/>
    <n v="0"/>
    <n v="0"/>
    <n v="0"/>
    <n v="0"/>
    <n v="0"/>
    <n v="0"/>
    <n v="0"/>
    <n v="3"/>
    <n v="2"/>
    <n v="0"/>
    <n v="0"/>
    <n v="0"/>
    <n v="0"/>
    <n v="0"/>
    <n v="1"/>
    <n v="0"/>
    <n v="0"/>
    <x v="3"/>
  </r>
  <r>
    <s v="22M"/>
    <n v="22"/>
    <x v="0"/>
    <n v="16"/>
    <n v="173"/>
    <n v="83"/>
    <n v="89"/>
    <n v="2"/>
    <n v="1"/>
    <n v="5"/>
    <n v="3"/>
    <n v="0"/>
    <n v="0"/>
    <n v="1"/>
    <n v="0"/>
    <n v="0"/>
    <n v="2"/>
    <n v="0"/>
    <n v="2"/>
    <n v="6"/>
    <n v="0"/>
    <n v="0"/>
    <n v="0"/>
    <n v="1"/>
    <n v="1"/>
    <n v="0"/>
    <n v="2"/>
    <n v="0"/>
    <x v="0"/>
  </r>
  <r>
    <s v="23M"/>
    <n v="23"/>
    <x v="0"/>
    <n v="2"/>
    <n v="20"/>
    <n v="15"/>
    <n v="5"/>
    <n v="0"/>
    <n v="0"/>
    <n v="0"/>
    <n v="0"/>
    <n v="0"/>
    <n v="0"/>
    <n v="0"/>
    <n v="0"/>
    <n v="0"/>
    <n v="0"/>
    <n v="0"/>
    <n v="1"/>
    <n v="1"/>
    <n v="0"/>
    <n v="0"/>
    <n v="0"/>
    <n v="0"/>
    <n v="0"/>
    <n v="0"/>
    <n v="0"/>
    <n v="0"/>
    <x v="3"/>
  </r>
  <r>
    <s v="24M"/>
    <n v="24"/>
    <x v="0"/>
    <n v="11"/>
    <n v="118"/>
    <n v="70"/>
    <n v="48"/>
    <n v="1"/>
    <n v="3"/>
    <n v="0"/>
    <n v="0"/>
    <n v="0"/>
    <n v="0"/>
    <n v="0"/>
    <n v="0"/>
    <n v="0"/>
    <n v="1"/>
    <n v="0"/>
    <n v="2"/>
    <n v="8"/>
    <n v="0"/>
    <n v="0"/>
    <n v="0"/>
    <n v="0"/>
    <n v="0"/>
    <n v="0"/>
    <n v="3"/>
    <n v="0"/>
    <x v="0"/>
  </r>
  <r>
    <s v="25M"/>
    <n v="25"/>
    <x v="0"/>
    <n v="6"/>
    <n v="37"/>
    <n v="22"/>
    <n v="15"/>
    <n v="0"/>
    <n v="0"/>
    <n v="0"/>
    <n v="0"/>
    <n v="0"/>
    <n v="0"/>
    <n v="0"/>
    <n v="0"/>
    <n v="0"/>
    <n v="0"/>
    <n v="0"/>
    <n v="1"/>
    <n v="3"/>
    <n v="0"/>
    <n v="0"/>
    <n v="0"/>
    <n v="0"/>
    <n v="0"/>
    <n v="0"/>
    <n v="0"/>
    <n v="0"/>
    <x v="3"/>
  </r>
  <r>
    <s v="26M"/>
    <n v="26"/>
    <x v="0"/>
    <n v="2"/>
    <n v="7"/>
    <n v="4"/>
    <n v="3"/>
    <n v="0"/>
    <n v="1"/>
    <n v="0"/>
    <n v="0"/>
    <n v="0"/>
    <n v="0"/>
    <n v="0"/>
    <n v="0"/>
    <n v="0"/>
    <n v="0"/>
    <n v="0"/>
    <n v="0"/>
    <n v="1"/>
    <n v="0"/>
    <n v="0"/>
    <n v="0"/>
    <n v="0"/>
    <n v="0"/>
    <n v="0"/>
    <n v="0"/>
    <n v="0"/>
    <x v="3"/>
  </r>
  <r>
    <s v="27M"/>
    <n v="27"/>
    <x v="0"/>
    <n v="11"/>
    <n v="121"/>
    <n v="63"/>
    <n v="58"/>
    <n v="0"/>
    <n v="1"/>
    <n v="0"/>
    <n v="6"/>
    <n v="0"/>
    <n v="0"/>
    <n v="0"/>
    <n v="0"/>
    <n v="0"/>
    <n v="0"/>
    <n v="0"/>
    <n v="0"/>
    <n v="1"/>
    <n v="0"/>
    <n v="0"/>
    <n v="0"/>
    <n v="0"/>
    <n v="0"/>
    <n v="0"/>
    <n v="0"/>
    <n v="0"/>
    <x v="0"/>
  </r>
  <r>
    <s v="28M"/>
    <n v="28"/>
    <x v="0"/>
    <n v="4"/>
    <n v="36"/>
    <n v="23"/>
    <n v="13"/>
    <n v="0"/>
    <n v="0"/>
    <n v="0"/>
    <n v="0"/>
    <n v="0"/>
    <n v="0"/>
    <n v="0"/>
    <n v="0"/>
    <n v="0"/>
    <n v="0"/>
    <n v="0"/>
    <n v="1"/>
    <n v="1"/>
    <n v="0"/>
    <n v="0"/>
    <n v="0"/>
    <n v="0"/>
    <n v="0"/>
    <n v="0"/>
    <n v="13"/>
    <n v="0"/>
    <x v="3"/>
  </r>
  <r>
    <s v="29M"/>
    <n v="29"/>
    <x v="0"/>
    <n v="7"/>
    <n v="50"/>
    <n v="22"/>
    <n v="28"/>
    <n v="1"/>
    <n v="1"/>
    <n v="0"/>
    <n v="0"/>
    <n v="0"/>
    <n v="0"/>
    <n v="0"/>
    <n v="0"/>
    <n v="0"/>
    <n v="0"/>
    <n v="0"/>
    <n v="3"/>
    <n v="5"/>
    <n v="0"/>
    <n v="9"/>
    <n v="0"/>
    <n v="0"/>
    <n v="0"/>
    <n v="0"/>
    <n v="0"/>
    <n v="0"/>
    <x v="3"/>
  </r>
  <r>
    <s v="30M"/>
    <n v="30"/>
    <x v="0"/>
    <n v="4"/>
    <n v="25"/>
    <n v="13"/>
    <n v="12"/>
    <n v="0"/>
    <n v="0"/>
    <n v="0"/>
    <n v="0"/>
    <n v="0"/>
    <n v="0"/>
    <n v="0"/>
    <n v="0"/>
    <n v="0"/>
    <n v="0"/>
    <n v="0"/>
    <n v="1"/>
    <n v="1"/>
    <n v="0"/>
    <n v="0"/>
    <n v="0"/>
    <n v="0"/>
    <n v="0"/>
    <n v="0"/>
    <n v="0"/>
    <n v="0"/>
    <x v="3"/>
  </r>
  <r>
    <s v="31M"/>
    <n v="31"/>
    <x v="0"/>
    <n v="2"/>
    <n v="17"/>
    <n v="8"/>
    <n v="9"/>
    <n v="0"/>
    <n v="0"/>
    <n v="0"/>
    <n v="0"/>
    <n v="0"/>
    <n v="0"/>
    <n v="0"/>
    <n v="0"/>
    <n v="0"/>
    <n v="0"/>
    <n v="0"/>
    <n v="0"/>
    <n v="1"/>
    <n v="0"/>
    <n v="0"/>
    <n v="0"/>
    <n v="0"/>
    <n v="0"/>
    <n v="0"/>
    <n v="0"/>
    <n v="0"/>
    <x v="3"/>
  </r>
  <r>
    <s v="32M"/>
    <n v="32"/>
    <x v="0"/>
    <n v="2"/>
    <n v="20"/>
    <n v="10"/>
    <n v="10"/>
    <n v="0"/>
    <n v="0"/>
    <n v="0"/>
    <n v="0"/>
    <n v="0"/>
    <n v="0"/>
    <n v="0"/>
    <n v="0"/>
    <n v="0"/>
    <n v="0"/>
    <n v="0"/>
    <n v="1"/>
    <n v="0"/>
    <n v="0"/>
    <n v="0"/>
    <n v="0"/>
    <n v="0"/>
    <n v="0"/>
    <n v="0"/>
    <n v="0"/>
    <n v="0"/>
    <x v="3"/>
  </r>
  <r>
    <s v="33M"/>
    <n v="33"/>
    <x v="0"/>
    <n v="1"/>
    <n v="18"/>
    <n v="6"/>
    <n v="12"/>
    <n v="0"/>
    <n v="0"/>
    <n v="0"/>
    <n v="0"/>
    <n v="0"/>
    <n v="0"/>
    <n v="0"/>
    <n v="0"/>
    <n v="0"/>
    <n v="0"/>
    <n v="0"/>
    <n v="0"/>
    <n v="0"/>
    <n v="0"/>
    <n v="0"/>
    <n v="0"/>
    <n v="0"/>
    <n v="0"/>
    <n v="0"/>
    <n v="0"/>
    <n v="0"/>
    <x v="3"/>
  </r>
  <r>
    <s v="34M"/>
    <n v="34"/>
    <x v="0"/>
    <n v="2"/>
    <n v="22"/>
    <n v="11"/>
    <n v="11"/>
    <n v="0"/>
    <n v="1"/>
    <n v="0"/>
    <n v="0"/>
    <n v="0"/>
    <n v="0"/>
    <n v="0"/>
    <n v="0"/>
    <n v="0"/>
    <n v="0"/>
    <n v="0"/>
    <n v="0"/>
    <n v="2"/>
    <n v="0"/>
    <n v="0"/>
    <n v="0"/>
    <n v="0"/>
    <n v="0"/>
    <n v="0"/>
    <n v="0"/>
    <n v="0"/>
    <x v="3"/>
  </r>
  <r>
    <s v="35M"/>
    <n v="35"/>
    <x v="0"/>
    <n v="2"/>
    <n v="63"/>
    <n v="32"/>
    <n v="31"/>
    <n v="2"/>
    <n v="4"/>
    <n v="0"/>
    <n v="3"/>
    <n v="0"/>
    <n v="0"/>
    <n v="0"/>
    <n v="0"/>
    <n v="0"/>
    <n v="0"/>
    <n v="0"/>
    <n v="3"/>
    <n v="4"/>
    <n v="0"/>
    <n v="0"/>
    <n v="0"/>
    <n v="1"/>
    <n v="0"/>
    <n v="0"/>
    <n v="0"/>
    <n v="0"/>
    <x v="3"/>
  </r>
  <r>
    <s v="36M"/>
    <n v="36"/>
    <x v="0"/>
    <n v="13"/>
    <n v="101"/>
    <n v="61"/>
    <n v="40"/>
    <n v="3"/>
    <n v="1"/>
    <n v="0"/>
    <n v="1"/>
    <n v="0"/>
    <n v="0"/>
    <n v="0"/>
    <n v="0"/>
    <n v="0"/>
    <n v="1"/>
    <n v="0"/>
    <n v="2"/>
    <n v="5"/>
    <n v="0"/>
    <n v="0"/>
    <n v="0"/>
    <n v="0"/>
    <n v="1"/>
    <n v="0"/>
    <n v="0"/>
    <n v="2"/>
    <x v="0"/>
  </r>
  <r>
    <s v="37M"/>
    <n v="37"/>
    <x v="0"/>
    <n v="13"/>
    <n v="152"/>
    <n v="84"/>
    <n v="68"/>
    <n v="2"/>
    <n v="1"/>
    <n v="0"/>
    <n v="2"/>
    <n v="0"/>
    <n v="1"/>
    <n v="3"/>
    <n v="0"/>
    <n v="0.56999999999999995"/>
    <n v="0"/>
    <n v="0"/>
    <n v="1"/>
    <n v="8"/>
    <n v="0"/>
    <n v="0"/>
    <n v="1"/>
    <n v="3"/>
    <n v="0"/>
    <n v="0"/>
    <n v="0"/>
    <n v="0"/>
    <x v="0"/>
  </r>
  <r>
    <s v="38M"/>
    <n v="38"/>
    <x v="0"/>
    <n v="22"/>
    <n v="178"/>
    <n v="114"/>
    <n v="63"/>
    <n v="4"/>
    <n v="0"/>
    <n v="4"/>
    <n v="0"/>
    <n v="1"/>
    <n v="0"/>
    <n v="1"/>
    <n v="0"/>
    <n v="0"/>
    <n v="3"/>
    <n v="0"/>
    <n v="2"/>
    <n v="3"/>
    <n v="0"/>
    <n v="7"/>
    <n v="0"/>
    <n v="0"/>
    <n v="1"/>
    <n v="0"/>
    <n v="2"/>
    <n v="2"/>
    <x v="0"/>
  </r>
  <r>
    <s v="39M"/>
    <n v="39"/>
    <x v="0"/>
    <n v="8"/>
    <n v="27"/>
    <n v="12"/>
    <n v="15"/>
    <n v="0"/>
    <n v="0"/>
    <n v="0"/>
    <n v="0"/>
    <n v="2"/>
    <n v="2"/>
    <n v="5"/>
    <n v="3"/>
    <n v="36.729999999999997"/>
    <n v="0"/>
    <n v="0"/>
    <n v="0"/>
    <n v="0"/>
    <n v="0"/>
    <n v="0"/>
    <n v="0"/>
    <n v="0"/>
    <n v="0"/>
    <n v="0"/>
    <n v="4"/>
    <n v="0"/>
    <x v="3"/>
  </r>
  <r>
    <s v="40M"/>
    <n v="40"/>
    <x v="0"/>
    <n v="15"/>
    <n v="246"/>
    <n v="125"/>
    <n v="121"/>
    <n v="0"/>
    <n v="0"/>
    <n v="0"/>
    <n v="0"/>
    <n v="2"/>
    <n v="1"/>
    <n v="0"/>
    <n v="1"/>
    <n v="1.48"/>
    <n v="8"/>
    <n v="0"/>
    <n v="2"/>
    <n v="2"/>
    <n v="0"/>
    <n v="0"/>
    <n v="0"/>
    <n v="0"/>
    <n v="1"/>
    <n v="0"/>
    <n v="5"/>
    <n v="2"/>
    <x v="0"/>
  </r>
  <r>
    <s v="41F"/>
    <n v="41"/>
    <x v="1"/>
    <n v="17"/>
    <n v="76"/>
    <n v="37"/>
    <n v="39"/>
    <n v="0"/>
    <n v="0"/>
    <n v="2"/>
    <n v="3"/>
    <n v="2"/>
    <n v="1"/>
    <n v="4"/>
    <n v="8"/>
    <n v="88.5"/>
    <n v="2"/>
    <n v="0"/>
    <n v="0"/>
    <n v="0"/>
    <n v="0"/>
    <n v="5"/>
    <n v="0"/>
    <n v="0"/>
    <n v="1"/>
    <n v="0"/>
    <n v="1"/>
    <n v="0"/>
    <x v="3"/>
  </r>
  <r>
    <s v="42M"/>
    <n v="42"/>
    <x v="0"/>
    <n v="1"/>
    <n v="5"/>
    <n v="4"/>
    <n v="1"/>
    <n v="0"/>
    <n v="0"/>
    <n v="0"/>
    <n v="0"/>
    <n v="0"/>
    <n v="0"/>
    <n v="0"/>
    <n v="0"/>
    <n v="0"/>
    <n v="0"/>
    <n v="0"/>
    <n v="0"/>
    <n v="0"/>
    <n v="0"/>
    <n v="0"/>
    <n v="0"/>
    <n v="0"/>
    <n v="0"/>
    <n v="0"/>
    <n v="0"/>
    <n v="0"/>
    <x v="3"/>
  </r>
  <r>
    <s v="43M"/>
    <n v="43"/>
    <x v="0"/>
    <n v="25"/>
    <n v="288"/>
    <n v="187"/>
    <n v="101"/>
    <n v="13"/>
    <n v="0"/>
    <n v="10"/>
    <n v="2"/>
    <n v="0"/>
    <n v="3"/>
    <n v="0"/>
    <n v="0"/>
    <n v="0.37"/>
    <n v="5"/>
    <n v="0"/>
    <n v="11"/>
    <n v="11"/>
    <n v="0"/>
    <n v="0"/>
    <n v="0"/>
    <n v="0"/>
    <n v="1"/>
    <n v="0"/>
    <n v="10"/>
    <n v="1"/>
    <x v="0"/>
  </r>
  <r>
    <s v="44M"/>
    <n v="44"/>
    <x v="0"/>
    <n v="9"/>
    <n v="54"/>
    <n v="32"/>
    <n v="22"/>
    <n v="8"/>
    <n v="2"/>
    <n v="0"/>
    <n v="0"/>
    <n v="0"/>
    <n v="0"/>
    <n v="0"/>
    <n v="0"/>
    <n v="0"/>
    <n v="0"/>
    <n v="0"/>
    <n v="0"/>
    <n v="0"/>
    <n v="0"/>
    <n v="0"/>
    <n v="0"/>
    <n v="0"/>
    <n v="0"/>
    <n v="0"/>
    <n v="0"/>
    <n v="0"/>
    <x v="3"/>
  </r>
  <r>
    <s v="45M"/>
    <n v="45"/>
    <x v="0"/>
    <n v="4"/>
    <n v="4"/>
    <n v="0"/>
    <n v="4"/>
    <n v="0"/>
    <n v="0"/>
    <n v="0"/>
    <n v="0"/>
    <n v="0"/>
    <n v="0"/>
    <n v="0"/>
    <n v="0"/>
    <n v="0"/>
    <n v="0"/>
    <n v="0"/>
    <n v="4"/>
    <n v="0"/>
    <n v="0"/>
    <n v="0"/>
    <n v="0"/>
    <n v="0"/>
    <n v="0"/>
    <n v="0"/>
    <n v="0"/>
    <n v="4"/>
    <x v="3"/>
  </r>
  <r>
    <s v="46M"/>
    <n v="46"/>
    <x v="0"/>
    <n v="14"/>
    <n v="145"/>
    <n v="77"/>
    <n v="68"/>
    <n v="0"/>
    <n v="1"/>
    <n v="2"/>
    <n v="0"/>
    <n v="0"/>
    <n v="0"/>
    <n v="3"/>
    <n v="0"/>
    <n v="0"/>
    <n v="0"/>
    <n v="0"/>
    <n v="5"/>
    <n v="4"/>
    <n v="0"/>
    <n v="0"/>
    <n v="1"/>
    <n v="0"/>
    <n v="1"/>
    <n v="1"/>
    <n v="2"/>
    <n v="6"/>
    <x v="0"/>
  </r>
  <r>
    <s v="47M"/>
    <n v="47"/>
    <x v="0"/>
    <n v="5"/>
    <n v="28"/>
    <n v="10"/>
    <n v="18"/>
    <n v="0"/>
    <n v="0"/>
    <n v="0"/>
    <n v="0"/>
    <n v="0"/>
    <n v="0"/>
    <n v="0"/>
    <n v="0"/>
    <n v="0"/>
    <n v="0"/>
    <n v="0"/>
    <n v="0"/>
    <n v="0"/>
    <n v="0"/>
    <n v="0"/>
    <n v="0"/>
    <n v="0"/>
    <n v="0"/>
    <n v="0"/>
    <n v="0"/>
    <n v="0"/>
    <x v="3"/>
  </r>
  <r>
    <s v="48F"/>
    <n v="48"/>
    <x v="1"/>
    <n v="6"/>
    <n v="57"/>
    <n v="27"/>
    <n v="30"/>
    <n v="1"/>
    <n v="0"/>
    <n v="0"/>
    <n v="0"/>
    <n v="0"/>
    <n v="0"/>
    <n v="0"/>
    <n v="0"/>
    <n v="0"/>
    <n v="0"/>
    <n v="0"/>
    <n v="1"/>
    <n v="7"/>
    <n v="0"/>
    <n v="0"/>
    <n v="0"/>
    <n v="0"/>
    <n v="0"/>
    <n v="0"/>
    <n v="0"/>
    <n v="0"/>
    <x v="3"/>
  </r>
  <r>
    <s v="49M"/>
    <n v="49"/>
    <x v="0"/>
    <n v="8"/>
    <n v="39"/>
    <n v="20"/>
    <n v="19"/>
    <n v="1"/>
    <n v="2"/>
    <n v="2"/>
    <n v="4"/>
    <n v="0"/>
    <n v="0"/>
    <n v="2"/>
    <n v="0"/>
    <n v="0"/>
    <n v="0"/>
    <n v="0"/>
    <n v="0"/>
    <n v="3"/>
    <n v="0"/>
    <n v="0"/>
    <n v="0"/>
    <n v="1"/>
    <n v="0"/>
    <n v="0"/>
    <n v="1"/>
    <n v="0"/>
    <x v="3"/>
  </r>
  <r>
    <s v="50M"/>
    <n v="50"/>
    <x v="0"/>
    <n v="2"/>
    <n v="48"/>
    <n v="18"/>
    <n v="30"/>
    <n v="0"/>
    <n v="0"/>
    <n v="0"/>
    <n v="0"/>
    <n v="0"/>
    <n v="0"/>
    <n v="0"/>
    <n v="0"/>
    <n v="0"/>
    <n v="0"/>
    <n v="0"/>
    <n v="0"/>
    <n v="0"/>
    <n v="0"/>
    <n v="0"/>
    <n v="0"/>
    <n v="0"/>
    <n v="0"/>
    <n v="0"/>
    <n v="0"/>
    <n v="0"/>
    <x v="3"/>
  </r>
  <r>
    <s v="51M"/>
    <n v="51"/>
    <x v="0"/>
    <n v="1"/>
    <n v="4"/>
    <n v="0"/>
    <n v="4"/>
    <n v="0"/>
    <n v="0"/>
    <n v="0"/>
    <n v="0"/>
    <n v="0"/>
    <n v="0"/>
    <n v="0"/>
    <n v="0"/>
    <n v="0"/>
    <n v="0"/>
    <n v="0"/>
    <n v="0"/>
    <n v="0"/>
    <n v="0"/>
    <n v="0"/>
    <n v="0"/>
    <n v="0"/>
    <n v="0"/>
    <n v="0"/>
    <n v="0"/>
    <n v="4"/>
    <x v="3"/>
  </r>
  <r>
    <s v="52M"/>
    <n v="52"/>
    <x v="0"/>
    <n v="19"/>
    <n v="1036"/>
    <n v="532"/>
    <n v="504"/>
    <n v="34"/>
    <n v="28"/>
    <n v="27"/>
    <n v="15"/>
    <n v="0"/>
    <n v="0"/>
    <n v="0"/>
    <n v="0"/>
    <n v="0"/>
    <n v="4"/>
    <n v="3"/>
    <n v="9"/>
    <n v="5"/>
    <n v="0"/>
    <n v="0"/>
    <n v="0"/>
    <n v="0"/>
    <n v="2"/>
    <n v="7"/>
    <n v="3"/>
    <n v="9"/>
    <x v="1"/>
  </r>
  <r>
    <s v="53M"/>
    <n v="53"/>
    <x v="0"/>
    <n v="1"/>
    <n v="4"/>
    <n v="0"/>
    <n v="4"/>
    <n v="0"/>
    <n v="0"/>
    <n v="0"/>
    <n v="0"/>
    <n v="0"/>
    <n v="0"/>
    <n v="0"/>
    <n v="0"/>
    <n v="0"/>
    <n v="0"/>
    <n v="0"/>
    <n v="0"/>
    <n v="0"/>
    <n v="0"/>
    <n v="0"/>
    <n v="0"/>
    <n v="0"/>
    <n v="0"/>
    <n v="0"/>
    <n v="0"/>
    <n v="4"/>
    <x v="3"/>
  </r>
  <r>
    <s v="54M"/>
    <n v="54"/>
    <x v="0"/>
    <n v="6"/>
    <n v="31"/>
    <n v="18"/>
    <n v="13"/>
    <n v="0"/>
    <n v="1"/>
    <n v="0"/>
    <n v="0"/>
    <n v="0"/>
    <n v="0"/>
    <n v="0"/>
    <n v="0"/>
    <n v="0"/>
    <n v="0"/>
    <n v="0"/>
    <n v="1"/>
    <n v="0"/>
    <n v="0"/>
    <n v="0"/>
    <n v="0"/>
    <n v="0"/>
    <n v="0"/>
    <n v="0"/>
    <n v="0"/>
    <n v="0"/>
    <x v="3"/>
  </r>
  <r>
    <s v="55M"/>
    <n v="55"/>
    <x v="0"/>
    <n v="4"/>
    <n v="14"/>
    <n v="9"/>
    <n v="5"/>
    <n v="0"/>
    <n v="0"/>
    <n v="0"/>
    <n v="0"/>
    <n v="2"/>
    <n v="0"/>
    <n v="3"/>
    <n v="1"/>
    <n v="2"/>
    <n v="0"/>
    <n v="0"/>
    <n v="0"/>
    <n v="0"/>
    <n v="0"/>
    <n v="0"/>
    <n v="0"/>
    <n v="0"/>
    <n v="2"/>
    <n v="0"/>
    <n v="4"/>
    <n v="0"/>
    <x v="3"/>
  </r>
  <r>
    <s v="56M"/>
    <n v="56"/>
    <x v="0"/>
    <n v="12"/>
    <n v="177"/>
    <n v="81"/>
    <n v="96"/>
    <n v="5"/>
    <n v="3"/>
    <n v="8"/>
    <n v="6"/>
    <n v="0"/>
    <n v="0"/>
    <n v="0"/>
    <n v="0"/>
    <n v="0"/>
    <n v="2"/>
    <n v="0"/>
    <n v="0"/>
    <n v="3"/>
    <n v="0"/>
    <n v="0"/>
    <n v="0"/>
    <n v="0"/>
    <n v="1"/>
    <n v="1"/>
    <n v="2"/>
    <n v="2"/>
    <x v="0"/>
  </r>
  <r>
    <s v="57M"/>
    <n v="57"/>
    <x v="0"/>
    <n v="2"/>
    <n v="6"/>
    <n v="6"/>
    <n v="0"/>
    <n v="6"/>
    <n v="0"/>
    <n v="0"/>
    <n v="0"/>
    <n v="0"/>
    <n v="0"/>
    <n v="0"/>
    <n v="0"/>
    <n v="0"/>
    <n v="0"/>
    <n v="0"/>
    <n v="0"/>
    <n v="0"/>
    <n v="0"/>
    <n v="0"/>
    <n v="0"/>
    <n v="0"/>
    <n v="0"/>
    <n v="0"/>
    <n v="0"/>
    <n v="0"/>
    <x v="3"/>
  </r>
  <r>
    <s v="58F"/>
    <n v="58"/>
    <x v="1"/>
    <n v="1"/>
    <n v="10"/>
    <n v="6"/>
    <n v="4"/>
    <n v="1"/>
    <n v="0"/>
    <n v="0"/>
    <n v="0"/>
    <n v="0"/>
    <n v="0"/>
    <n v="0"/>
    <n v="0"/>
    <n v="0"/>
    <n v="0"/>
    <n v="0"/>
    <n v="0"/>
    <n v="0"/>
    <n v="0"/>
    <n v="0"/>
    <n v="0"/>
    <n v="0"/>
    <n v="0"/>
    <n v="0"/>
    <n v="0"/>
    <n v="0"/>
    <x v="3"/>
  </r>
  <r>
    <s v="59F"/>
    <n v="59"/>
    <x v="1"/>
    <n v="11"/>
    <n v="69"/>
    <n v="28"/>
    <n v="41"/>
    <n v="0"/>
    <n v="0"/>
    <n v="3"/>
    <n v="2"/>
    <n v="0"/>
    <n v="2"/>
    <n v="4"/>
    <n v="0"/>
    <n v="16"/>
    <n v="0"/>
    <n v="0"/>
    <n v="1"/>
    <n v="0"/>
    <n v="0"/>
    <n v="0"/>
    <n v="0"/>
    <n v="0"/>
    <n v="1"/>
    <n v="2"/>
    <n v="0"/>
    <n v="2"/>
    <x v="3"/>
  </r>
  <r>
    <s v="60M"/>
    <n v="60"/>
    <x v="0"/>
    <n v="1"/>
    <n v="8"/>
    <n v="4"/>
    <n v="4"/>
    <n v="0"/>
    <n v="0"/>
    <n v="0"/>
    <n v="0"/>
    <n v="0"/>
    <n v="0"/>
    <n v="0"/>
    <n v="0"/>
    <n v="0"/>
    <n v="0"/>
    <n v="1"/>
    <n v="0"/>
    <n v="0"/>
    <n v="0"/>
    <n v="1"/>
    <n v="1"/>
    <n v="0"/>
    <n v="0"/>
    <n v="0"/>
    <n v="0"/>
    <n v="0"/>
    <x v="3"/>
  </r>
  <r>
    <s v="61M"/>
    <n v="61"/>
    <x v="0"/>
    <n v="8"/>
    <n v="37"/>
    <n v="15"/>
    <n v="22"/>
    <n v="0"/>
    <n v="0"/>
    <n v="0"/>
    <n v="0"/>
    <n v="0"/>
    <n v="0"/>
    <n v="0"/>
    <n v="0"/>
    <n v="0"/>
    <n v="0"/>
    <n v="0"/>
    <n v="0"/>
    <n v="0"/>
    <n v="0"/>
    <n v="0"/>
    <n v="0"/>
    <n v="0"/>
    <n v="0"/>
    <n v="0"/>
    <n v="0"/>
    <n v="0"/>
    <x v="3"/>
  </r>
  <r>
    <s v="62M"/>
    <n v="62"/>
    <x v="0"/>
    <n v="2"/>
    <n v="5"/>
    <n v="2"/>
    <n v="3"/>
    <n v="0"/>
    <n v="0"/>
    <n v="0"/>
    <n v="0"/>
    <n v="0"/>
    <n v="0"/>
    <n v="0"/>
    <n v="0"/>
    <n v="0"/>
    <n v="0"/>
    <n v="0"/>
    <n v="0"/>
    <n v="0"/>
    <n v="0"/>
    <n v="0"/>
    <n v="0"/>
    <n v="0"/>
    <n v="0"/>
    <n v="0"/>
    <n v="0"/>
    <n v="0"/>
    <x v="3"/>
  </r>
  <r>
    <s v="63M"/>
    <n v="63"/>
    <x v="0"/>
    <n v="5"/>
    <n v="26"/>
    <n v="14"/>
    <n v="12"/>
    <n v="0"/>
    <n v="0"/>
    <n v="0"/>
    <n v="0"/>
    <n v="0"/>
    <n v="0"/>
    <n v="0"/>
    <n v="0"/>
    <n v="0"/>
    <n v="0"/>
    <n v="0"/>
    <n v="0"/>
    <n v="2"/>
    <n v="0"/>
    <n v="0"/>
    <n v="0"/>
    <n v="0"/>
    <n v="0"/>
    <n v="0"/>
    <n v="0"/>
    <n v="5"/>
    <x v="3"/>
  </r>
  <r>
    <s v="64M"/>
    <n v="64"/>
    <x v="0"/>
    <n v="2"/>
    <n v="5"/>
    <n v="5"/>
    <n v="0"/>
    <n v="0"/>
    <n v="0"/>
    <n v="0"/>
    <n v="0"/>
    <n v="3"/>
    <n v="1"/>
    <n v="0"/>
    <n v="0"/>
    <n v="2"/>
    <n v="0"/>
    <n v="0"/>
    <n v="0"/>
    <n v="0"/>
    <n v="0"/>
    <n v="0"/>
    <n v="0"/>
    <n v="0"/>
    <n v="0"/>
    <n v="0"/>
    <n v="0"/>
    <n v="0"/>
    <x v="3"/>
  </r>
  <r>
    <s v="65M"/>
    <n v="65"/>
    <x v="0"/>
    <n v="1"/>
    <n v="1"/>
    <n v="1"/>
    <n v="0"/>
    <n v="0"/>
    <n v="0"/>
    <n v="0"/>
    <n v="0"/>
    <n v="0"/>
    <n v="0"/>
    <n v="0"/>
    <n v="0"/>
    <n v="0"/>
    <n v="0"/>
    <n v="0"/>
    <n v="0"/>
    <n v="0"/>
    <n v="0"/>
    <n v="0"/>
    <n v="0"/>
    <n v="0"/>
    <n v="0"/>
    <n v="0"/>
    <n v="0"/>
    <n v="0"/>
    <x v="3"/>
  </r>
  <r>
    <s v="66M"/>
    <n v="66"/>
    <x v="0"/>
    <n v="3"/>
    <n v="17"/>
    <n v="10"/>
    <n v="7"/>
    <n v="0"/>
    <n v="0"/>
    <n v="0"/>
    <n v="0"/>
    <n v="0"/>
    <n v="0"/>
    <n v="0"/>
    <n v="0"/>
    <n v="0"/>
    <n v="0"/>
    <n v="0"/>
    <n v="0"/>
    <n v="0"/>
    <n v="0"/>
    <n v="0"/>
    <n v="0"/>
    <n v="0"/>
    <n v="0"/>
    <n v="0"/>
    <n v="0"/>
    <n v="0"/>
    <x v="3"/>
  </r>
  <r>
    <s v="67M"/>
    <n v="67"/>
    <x v="0"/>
    <n v="6"/>
    <n v="17"/>
    <n v="11"/>
    <n v="6"/>
    <n v="0"/>
    <n v="0"/>
    <n v="0"/>
    <n v="0"/>
    <n v="0"/>
    <n v="0"/>
    <n v="0"/>
    <n v="0"/>
    <n v="0"/>
    <n v="0"/>
    <n v="0"/>
    <n v="0"/>
    <n v="0"/>
    <n v="0"/>
    <n v="0"/>
    <n v="0"/>
    <n v="0"/>
    <n v="0"/>
    <n v="0"/>
    <n v="0"/>
    <n v="0"/>
    <x v="3"/>
  </r>
  <r>
    <s v="68M"/>
    <n v="68"/>
    <x v="0"/>
    <n v="6"/>
    <n v="45"/>
    <n v="31"/>
    <n v="14"/>
    <n v="1"/>
    <n v="0"/>
    <n v="0"/>
    <n v="0"/>
    <n v="0"/>
    <n v="0"/>
    <n v="0"/>
    <n v="0"/>
    <n v="0"/>
    <n v="7"/>
    <n v="0"/>
    <n v="2"/>
    <n v="0"/>
    <n v="0"/>
    <n v="0"/>
    <n v="0"/>
    <n v="1"/>
    <n v="0"/>
    <n v="0"/>
    <n v="1"/>
    <n v="0"/>
    <x v="3"/>
  </r>
  <r>
    <s v="69M"/>
    <n v="69"/>
    <x v="0"/>
    <n v="1"/>
    <n v="1"/>
    <n v="1"/>
    <n v="0"/>
    <n v="0"/>
    <n v="0"/>
    <n v="0"/>
    <n v="0"/>
    <n v="0"/>
    <n v="0"/>
    <n v="0"/>
    <n v="0"/>
    <n v="0"/>
    <n v="0"/>
    <n v="0"/>
    <n v="0"/>
    <n v="0"/>
    <n v="0"/>
    <n v="0"/>
    <n v="0"/>
    <n v="0"/>
    <n v="1"/>
    <n v="0"/>
    <n v="0"/>
    <n v="0"/>
    <x v="3"/>
  </r>
  <r>
    <s v="70M"/>
    <n v="70"/>
    <x v="0"/>
    <n v="1"/>
    <n v="2"/>
    <n v="1"/>
    <n v="1"/>
    <n v="0"/>
    <n v="0"/>
    <n v="0"/>
    <n v="0"/>
    <n v="0"/>
    <n v="0"/>
    <n v="0"/>
    <n v="0"/>
    <n v="0"/>
    <n v="0"/>
    <n v="0"/>
    <n v="0"/>
    <n v="1"/>
    <n v="0"/>
    <n v="0"/>
    <n v="0"/>
    <n v="0"/>
    <n v="0"/>
    <n v="0"/>
    <n v="0"/>
    <n v="0"/>
    <x v="3"/>
  </r>
  <r>
    <s v="71F"/>
    <n v="71"/>
    <x v="1"/>
    <n v="4"/>
    <n v="12"/>
    <n v="5"/>
    <n v="7"/>
    <n v="0"/>
    <n v="0"/>
    <n v="3"/>
    <n v="3"/>
    <n v="1"/>
    <n v="0"/>
    <n v="1"/>
    <n v="1"/>
    <n v="0.4"/>
    <n v="0"/>
    <n v="0"/>
    <n v="0"/>
    <n v="0"/>
    <n v="0"/>
    <n v="0"/>
    <n v="0"/>
    <n v="0"/>
    <n v="0"/>
    <n v="0"/>
    <n v="0"/>
    <n v="1"/>
    <x v="3"/>
  </r>
  <r>
    <s v="72F"/>
    <n v="72"/>
    <x v="1"/>
    <n v="2"/>
    <n v="6"/>
    <n v="4"/>
    <n v="2"/>
    <n v="0"/>
    <n v="0"/>
    <n v="1"/>
    <n v="2"/>
    <n v="1"/>
    <n v="0"/>
    <n v="0"/>
    <n v="0"/>
    <n v="0"/>
    <n v="0"/>
    <n v="0"/>
    <n v="0"/>
    <n v="0"/>
    <n v="0"/>
    <n v="0"/>
    <n v="0"/>
    <n v="0"/>
    <n v="0"/>
    <n v="0"/>
    <n v="0"/>
    <n v="0"/>
    <x v="3"/>
  </r>
  <r>
    <s v="73M"/>
    <n v="73"/>
    <x v="0"/>
    <n v="6"/>
    <n v="91"/>
    <n v="37"/>
    <n v="54"/>
    <n v="5"/>
    <n v="0"/>
    <n v="4"/>
    <n v="2"/>
    <n v="0"/>
    <n v="0"/>
    <n v="0"/>
    <n v="0"/>
    <n v="0"/>
    <n v="0"/>
    <n v="0"/>
    <n v="0"/>
    <n v="0"/>
    <n v="0"/>
    <n v="0"/>
    <n v="0"/>
    <n v="0"/>
    <n v="0"/>
    <n v="0"/>
    <n v="0"/>
    <n v="0"/>
    <x v="3"/>
  </r>
  <r>
    <s v="74M"/>
    <n v="74"/>
    <x v="0"/>
    <n v="1"/>
    <n v="8"/>
    <n v="6"/>
    <n v="2"/>
    <n v="0"/>
    <n v="0"/>
    <n v="2"/>
    <n v="2"/>
    <n v="0"/>
    <n v="0"/>
    <n v="0"/>
    <n v="0"/>
    <n v="0"/>
    <n v="0"/>
    <n v="0"/>
    <n v="0"/>
    <n v="1"/>
    <n v="0"/>
    <n v="0"/>
    <n v="0"/>
    <n v="0"/>
    <n v="0"/>
    <n v="0"/>
    <n v="4"/>
    <n v="0"/>
    <x v="3"/>
  </r>
  <r>
    <s v="75M"/>
    <n v="75"/>
    <x v="0"/>
    <n v="1"/>
    <n v="2"/>
    <n v="1"/>
    <n v="1"/>
    <n v="0"/>
    <n v="0"/>
    <n v="1"/>
    <n v="1"/>
    <n v="0"/>
    <n v="0"/>
    <n v="0"/>
    <n v="0"/>
    <n v="0"/>
    <n v="0"/>
    <n v="0"/>
    <n v="0"/>
    <n v="0"/>
    <n v="0"/>
    <n v="0"/>
    <n v="0"/>
    <n v="0"/>
    <n v="0"/>
    <n v="0"/>
    <n v="0"/>
    <n v="0"/>
    <x v="3"/>
  </r>
  <r>
    <s v="76M"/>
    <n v="76"/>
    <x v="0"/>
    <n v="3"/>
    <n v="7"/>
    <n v="3"/>
    <n v="4"/>
    <n v="0"/>
    <n v="0"/>
    <n v="0"/>
    <n v="0"/>
    <n v="0"/>
    <n v="0"/>
    <n v="0"/>
    <n v="0"/>
    <n v="0"/>
    <n v="0"/>
    <n v="0"/>
    <n v="0"/>
    <n v="0"/>
    <n v="0"/>
    <n v="0"/>
    <n v="0"/>
    <n v="0"/>
    <n v="0"/>
    <n v="0"/>
    <n v="0"/>
    <n v="0"/>
    <x v="3"/>
  </r>
  <r>
    <s v="77M"/>
    <n v="77"/>
    <x v="0"/>
    <n v="5"/>
    <n v="46"/>
    <n v="27"/>
    <n v="19"/>
    <n v="0"/>
    <n v="0"/>
    <n v="0"/>
    <n v="1"/>
    <n v="0"/>
    <n v="0"/>
    <n v="0"/>
    <n v="0"/>
    <n v="0"/>
    <n v="0"/>
    <n v="0"/>
    <n v="0"/>
    <n v="1"/>
    <n v="0"/>
    <n v="0"/>
    <n v="0"/>
    <n v="0"/>
    <n v="0"/>
    <n v="0"/>
    <n v="0"/>
    <n v="0"/>
    <x v="3"/>
  </r>
  <r>
    <s v="78M"/>
    <n v="78"/>
    <x v="0"/>
    <n v="1"/>
    <n v="2"/>
    <n v="1"/>
    <n v="1"/>
    <n v="0"/>
    <n v="0"/>
    <n v="0"/>
    <n v="0"/>
    <n v="1"/>
    <n v="0"/>
    <n v="1"/>
    <n v="0"/>
    <n v="0"/>
    <n v="0"/>
    <n v="0"/>
    <n v="0"/>
    <n v="0"/>
    <n v="0"/>
    <n v="0"/>
    <n v="0"/>
    <n v="0"/>
    <n v="0"/>
    <n v="0"/>
    <n v="0"/>
    <n v="0"/>
    <x v="3"/>
  </r>
  <r>
    <s v="79M"/>
    <n v="79"/>
    <x v="0"/>
    <n v="4"/>
    <n v="66"/>
    <n v="30"/>
    <n v="36"/>
    <n v="0"/>
    <n v="0"/>
    <n v="0"/>
    <n v="0"/>
    <n v="0"/>
    <n v="0"/>
    <n v="1"/>
    <n v="0"/>
    <n v="0"/>
    <n v="0"/>
    <n v="0"/>
    <n v="0"/>
    <n v="1"/>
    <n v="0"/>
    <n v="0"/>
    <n v="0"/>
    <n v="0"/>
    <n v="2"/>
    <n v="0"/>
    <n v="0"/>
    <n v="0"/>
    <x v="3"/>
  </r>
  <r>
    <s v="80M"/>
    <n v="80"/>
    <x v="0"/>
    <n v="1"/>
    <n v="5"/>
    <n v="4"/>
    <n v="1"/>
    <n v="0"/>
    <n v="0"/>
    <n v="0"/>
    <n v="0"/>
    <n v="0"/>
    <n v="0"/>
    <n v="0"/>
    <n v="0"/>
    <n v="0"/>
    <n v="0"/>
    <n v="0"/>
    <n v="0"/>
    <n v="0"/>
    <n v="0"/>
    <n v="0"/>
    <n v="0"/>
    <n v="0"/>
    <n v="0"/>
    <n v="0"/>
    <n v="0"/>
    <n v="0"/>
    <x v="3"/>
  </r>
  <r>
    <s v="81M"/>
    <n v="81"/>
    <x v="0"/>
    <n v="1"/>
    <n v="2"/>
    <n v="1"/>
    <n v="1"/>
    <n v="0"/>
    <n v="0"/>
    <n v="0"/>
    <n v="0"/>
    <n v="1"/>
    <n v="0"/>
    <n v="1"/>
    <n v="0"/>
    <n v="0"/>
    <n v="0"/>
    <n v="0"/>
    <n v="0"/>
    <n v="0"/>
    <n v="0"/>
    <n v="0"/>
    <n v="0"/>
    <n v="0"/>
    <n v="0"/>
    <n v="0"/>
    <n v="0"/>
    <n v="0"/>
    <x v="3"/>
  </r>
  <r>
    <s v="82M"/>
    <n v="82"/>
    <x v="0"/>
    <n v="2"/>
    <n v="2"/>
    <n v="1"/>
    <n v="1"/>
    <n v="0"/>
    <n v="0"/>
    <n v="0"/>
    <n v="0"/>
    <n v="0"/>
    <n v="1"/>
    <n v="1"/>
    <n v="0"/>
    <n v="0.63"/>
    <n v="0"/>
    <n v="0"/>
    <n v="0"/>
    <n v="0"/>
    <n v="0"/>
    <n v="0"/>
    <n v="0"/>
    <n v="0"/>
    <n v="0"/>
    <n v="0"/>
    <n v="0"/>
    <n v="0"/>
    <x v="3"/>
  </r>
  <r>
    <s v="83M"/>
    <n v="83"/>
    <x v="0"/>
    <n v="1"/>
    <n v="1"/>
    <n v="1"/>
    <n v="0"/>
    <n v="0"/>
    <n v="0"/>
    <n v="0"/>
    <n v="0"/>
    <n v="0"/>
    <n v="0"/>
    <n v="0"/>
    <n v="0"/>
    <n v="0"/>
    <n v="0"/>
    <n v="0"/>
    <n v="0"/>
    <n v="0"/>
    <n v="0"/>
    <n v="0"/>
    <n v="0"/>
    <n v="0"/>
    <n v="0"/>
    <n v="0"/>
    <n v="0"/>
    <n v="0"/>
    <x v="3"/>
  </r>
  <r>
    <s v="84M"/>
    <n v="84"/>
    <x v="0"/>
    <n v="2"/>
    <n v="5"/>
    <n v="4"/>
    <n v="1"/>
    <n v="0"/>
    <n v="0"/>
    <n v="0"/>
    <n v="0"/>
    <n v="0"/>
    <n v="0"/>
    <n v="0"/>
    <n v="0"/>
    <n v="0"/>
    <n v="0"/>
    <n v="0"/>
    <n v="0"/>
    <n v="3"/>
    <n v="0"/>
    <n v="0"/>
    <n v="0"/>
    <n v="0"/>
    <n v="0"/>
    <n v="0"/>
    <n v="0"/>
    <n v="0"/>
    <x v="3"/>
  </r>
  <r>
    <s v="85M"/>
    <n v="85"/>
    <x v="0"/>
    <n v="6"/>
    <n v="69"/>
    <n v="41"/>
    <n v="28"/>
    <n v="7"/>
    <n v="1"/>
    <n v="6"/>
    <n v="3"/>
    <n v="0"/>
    <n v="0"/>
    <n v="1"/>
    <n v="0"/>
    <n v="0"/>
    <n v="3"/>
    <n v="0"/>
    <n v="1"/>
    <n v="5"/>
    <n v="0"/>
    <n v="0"/>
    <n v="0"/>
    <n v="0"/>
    <n v="0"/>
    <n v="0"/>
    <n v="0"/>
    <n v="0"/>
    <x v="3"/>
  </r>
  <r>
    <s v="86F"/>
    <n v="86"/>
    <x v="1"/>
    <n v="1"/>
    <n v="15"/>
    <n v="8"/>
    <n v="7"/>
    <n v="0"/>
    <n v="0"/>
    <n v="0"/>
    <n v="0"/>
    <n v="0"/>
    <n v="0"/>
    <n v="0"/>
    <n v="0"/>
    <n v="0"/>
    <n v="0"/>
    <n v="0"/>
    <n v="0"/>
    <n v="1"/>
    <n v="0"/>
    <n v="0"/>
    <n v="0"/>
    <n v="0"/>
    <n v="0"/>
    <n v="0"/>
    <n v="0"/>
    <n v="0"/>
    <x v="3"/>
  </r>
  <r>
    <s v="87M"/>
    <n v="87"/>
    <x v="0"/>
    <n v="2"/>
    <n v="5"/>
    <n v="3"/>
    <n v="2"/>
    <n v="0"/>
    <n v="0"/>
    <n v="0"/>
    <n v="0"/>
    <n v="0"/>
    <n v="0"/>
    <n v="0"/>
    <n v="0"/>
    <n v="0"/>
    <n v="1"/>
    <n v="0"/>
    <n v="0"/>
    <n v="0"/>
    <n v="0"/>
    <n v="0"/>
    <n v="0"/>
    <n v="0"/>
    <n v="0"/>
    <n v="0"/>
    <n v="0"/>
    <n v="0"/>
    <x v="3"/>
  </r>
  <r>
    <s v="88M"/>
    <n v="88"/>
    <x v="0"/>
    <n v="7"/>
    <n v="201"/>
    <n v="96"/>
    <n v="105"/>
    <n v="4"/>
    <n v="4"/>
    <n v="2"/>
    <n v="0"/>
    <n v="0"/>
    <n v="0"/>
    <n v="0"/>
    <n v="0"/>
    <n v="0"/>
    <n v="2"/>
    <n v="0"/>
    <n v="2"/>
    <n v="9"/>
    <n v="0"/>
    <n v="0"/>
    <n v="0"/>
    <n v="0"/>
    <n v="0"/>
    <n v="0"/>
    <n v="2"/>
    <n v="0"/>
    <x v="0"/>
  </r>
  <r>
    <s v="89F"/>
    <n v="89"/>
    <x v="1"/>
    <n v="1"/>
    <n v="18"/>
    <n v="8"/>
    <n v="10"/>
    <n v="0"/>
    <n v="0"/>
    <n v="0"/>
    <n v="0"/>
    <n v="0"/>
    <n v="0"/>
    <n v="0"/>
    <n v="0"/>
    <n v="0"/>
    <n v="0"/>
    <n v="0"/>
    <n v="0"/>
    <n v="0"/>
    <n v="0"/>
    <n v="0"/>
    <n v="0"/>
    <n v="0"/>
    <n v="0"/>
    <n v="0"/>
    <n v="0"/>
    <n v="0"/>
    <x v="3"/>
  </r>
  <r>
    <s v="90M"/>
    <n v="90"/>
    <x v="0"/>
    <n v="1"/>
    <n v="2"/>
    <n v="1"/>
    <n v="1"/>
    <n v="0"/>
    <n v="0"/>
    <n v="0"/>
    <n v="0"/>
    <n v="0"/>
    <n v="0"/>
    <n v="0"/>
    <n v="0"/>
    <n v="0"/>
    <n v="0"/>
    <n v="0"/>
    <n v="0"/>
    <n v="0"/>
    <n v="0"/>
    <n v="0"/>
    <n v="0"/>
    <n v="0"/>
    <n v="0"/>
    <n v="0"/>
    <n v="0"/>
    <n v="0"/>
    <x v="3"/>
  </r>
  <r>
    <s v="91M"/>
    <n v="91"/>
    <x v="0"/>
    <n v="1"/>
    <n v="1"/>
    <n v="1"/>
    <n v="0"/>
    <n v="0"/>
    <n v="0"/>
    <n v="0"/>
    <n v="0"/>
    <n v="0"/>
    <n v="0"/>
    <n v="0"/>
    <n v="0"/>
    <n v="0"/>
    <n v="0"/>
    <n v="0"/>
    <n v="0"/>
    <n v="1"/>
    <n v="0"/>
    <n v="0"/>
    <n v="0"/>
    <n v="0"/>
    <n v="0"/>
    <n v="0"/>
    <n v="0"/>
    <n v="0"/>
    <x v="3"/>
  </r>
  <r>
    <s v="92M"/>
    <n v="92"/>
    <x v="0"/>
    <n v="1"/>
    <n v="1"/>
    <n v="1"/>
    <n v="0"/>
    <n v="0"/>
    <n v="0"/>
    <n v="0"/>
    <n v="0"/>
    <n v="0"/>
    <n v="0"/>
    <n v="0"/>
    <n v="0"/>
    <n v="0"/>
    <n v="0"/>
    <n v="0"/>
    <n v="0"/>
    <n v="0"/>
    <n v="0"/>
    <n v="0"/>
    <n v="0"/>
    <n v="0"/>
    <n v="0"/>
    <n v="0"/>
    <n v="0"/>
    <n v="0"/>
    <x v="3"/>
  </r>
  <r>
    <s v="93M"/>
    <n v="93"/>
    <x v="0"/>
    <n v="1"/>
    <n v="1"/>
    <n v="1"/>
    <n v="0"/>
    <n v="0"/>
    <n v="0"/>
    <n v="0"/>
    <n v="0"/>
    <n v="0"/>
    <n v="0"/>
    <n v="0"/>
    <n v="0"/>
    <n v="0"/>
    <n v="0"/>
    <n v="0"/>
    <n v="0"/>
    <n v="0"/>
    <n v="0"/>
    <n v="0"/>
    <n v="0"/>
    <n v="0"/>
    <n v="0"/>
    <n v="0"/>
    <n v="0"/>
    <n v="0"/>
    <x v="3"/>
  </r>
  <r>
    <s v="94M"/>
    <n v="94"/>
    <x v="0"/>
    <n v="1"/>
    <n v="1"/>
    <n v="1"/>
    <n v="0"/>
    <n v="0"/>
    <n v="0"/>
    <n v="0"/>
    <n v="0"/>
    <n v="0"/>
    <n v="0"/>
    <n v="0"/>
    <n v="0"/>
    <n v="0"/>
    <n v="0"/>
    <n v="0"/>
    <n v="0"/>
    <n v="0"/>
    <n v="0"/>
    <n v="0"/>
    <n v="0"/>
    <n v="0"/>
    <n v="0"/>
    <n v="0"/>
    <n v="0"/>
    <n v="0"/>
    <x v="3"/>
  </r>
  <r>
    <s v="95M"/>
    <n v="95"/>
    <x v="0"/>
    <n v="1"/>
    <n v="1"/>
    <n v="1"/>
    <n v="0"/>
    <n v="0"/>
    <n v="0"/>
    <n v="0"/>
    <n v="0"/>
    <n v="0"/>
    <n v="0"/>
    <n v="0"/>
    <n v="0"/>
    <n v="0"/>
    <n v="0"/>
    <n v="0"/>
    <n v="0"/>
    <n v="0"/>
    <n v="0"/>
    <n v="0"/>
    <n v="0"/>
    <n v="0"/>
    <n v="0"/>
    <n v="0"/>
    <n v="0"/>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3DCEE3-4F95-44A6-B043-A4B8618D71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3:I8" firstHeaderRow="0" firstDataRow="1" firstDataCol="1"/>
  <pivotFields count="29">
    <pivotField dataField="1" showAll="0"/>
    <pivotField showAll="0"/>
    <pivotField showAll="0">
      <items count="3">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s>
  <rowFields count="1">
    <field x="28"/>
  </rowFields>
  <rowItems count="5">
    <i>
      <x/>
    </i>
    <i>
      <x v="1"/>
    </i>
    <i>
      <x v="2"/>
    </i>
    <i>
      <x v="3"/>
    </i>
    <i t="grand">
      <x/>
    </i>
  </rowItems>
  <colFields count="1">
    <field x="-2"/>
  </colFields>
  <colItems count="2">
    <i>
      <x/>
    </i>
    <i i="1">
      <x v="1"/>
    </i>
  </colItems>
  <dataFields count="2">
    <dataField name="Count of Contact_ID" fld="0" subtotal="count" baseField="0" baseItem="0"/>
    <dataField name="Sum of Total Messages" fld="4" baseField="0" baseItem="0"/>
  </dataFields>
  <chartFormats count="2">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93D3D1-ED70-4246-B264-A31E18AE0D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6" firstHeaderRow="0" firstDataRow="1" firstDataCol="1"/>
  <pivotFields count="29">
    <pivotField showAll="0"/>
    <pivotField showAll="0"/>
    <pivotField axis="axisRow" showAll="0">
      <items count="3">
        <item x="1"/>
        <item x="0"/>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3">
    <i>
      <x/>
    </i>
    <i i="1">
      <x v="1"/>
    </i>
    <i i="2">
      <x v="2"/>
    </i>
  </colItems>
  <dataFields count="3">
    <dataField name="Sum of Total Messages" fld="4" baseField="0" baseItem="0"/>
    <dataField name="Sum of My Messages" fld="5" baseField="0" baseItem="0"/>
    <dataField name="Sum of Your Messages" fld="6" baseField="0" baseItem="0"/>
  </dataFields>
  <chartFormats count="9">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pivotArea type="data" outline="0" fieldPosition="0">
        <references count="2">
          <reference field="4294967294" count="1" selected="0">
            <x v="0"/>
          </reference>
          <reference field="2" count="1" selected="0">
            <x v="0"/>
          </reference>
        </references>
      </pivotArea>
    </chartFormat>
    <chartFormat chart="6" format="4">
      <pivotArea type="data" outline="0" fieldPosition="0">
        <references count="2">
          <reference field="4294967294" count="1" selected="0">
            <x v="0"/>
          </reference>
          <reference field="2" count="1" selected="0">
            <x v="1"/>
          </reference>
        </references>
      </pivotArea>
    </chartFormat>
    <chartFormat chart="6" format="5">
      <pivotArea type="data" outline="0" fieldPosition="0">
        <references count="2">
          <reference field="4294967294" count="1" selected="0">
            <x v="1"/>
          </reference>
          <reference field="2" count="1" selected="0">
            <x v="0"/>
          </reference>
        </references>
      </pivotArea>
    </chartFormat>
    <chartFormat chart="6" format="6">
      <pivotArea type="data" outline="0" fieldPosition="0">
        <references count="2">
          <reference field="4294967294" count="1" selected="0">
            <x v="1"/>
          </reference>
          <reference field="2" count="1" selected="0">
            <x v="1"/>
          </reference>
        </references>
      </pivotArea>
    </chartFormat>
    <chartFormat chart="6" format="7">
      <pivotArea type="data" outline="0" fieldPosition="0">
        <references count="2">
          <reference field="4294967294" count="1" selected="0">
            <x v="2"/>
          </reference>
          <reference field="2" count="1" selected="0">
            <x v="0"/>
          </reference>
        </references>
      </pivotArea>
    </chartFormat>
    <chartFormat chart="6" format="8">
      <pivotArea type="data" outline="0" fieldPosition="0">
        <references count="2">
          <reference field="4294967294" count="1" selected="0">
            <x v="2"/>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AC9202-B9C8-4A4E-AE98-161296DBCF79}" autoFormatId="16" applyNumberFormats="0" applyBorderFormats="0" applyFontFormats="0" applyPatternFormats="0" applyAlignmentFormats="0" applyWidthHeightFormats="0">
  <queryTableRefresh nextId="30" unboundColumnsRight="1">
    <queryTableFields count="29">
      <queryTableField id="1" name="Contact_ID" tableColumnId="1"/>
      <queryTableField id="2" name="Contact_Number" tableColumnId="2"/>
      <queryTableField id="3" name="Gender" tableColumnId="3"/>
      <queryTableField id="4" name="Days with messages" tableColumnId="4"/>
      <queryTableField id="5" name="Total Messages" tableColumnId="5"/>
      <queryTableField id="6" name="My Messages" tableColumnId="6"/>
      <queryTableField id="7" name="Your Messages" tableColumnId="7"/>
      <queryTableField id="8" name="Doc Sent" tableColumnId="8"/>
      <queryTableField id="9" name="Doc Received" tableColumnId="9"/>
      <queryTableField id="10" name="Voice Note Sent" tableColumnId="10"/>
      <queryTableField id="11" name="Voice Note Received" tableColumnId="11"/>
      <queryTableField id="12" name="Call Sent" tableColumnId="12"/>
      <queryTableField id="13" name="Call Sent (Answered)" tableColumnId="13"/>
      <queryTableField id="14" name="Call Received" tableColumnId="14"/>
      <queryTableField id="15" name="Call Received (Answered)" tableColumnId="15"/>
      <queryTableField id="16" name="Call Duration (min)" tableColumnId="16"/>
      <queryTableField id="17" name="Messages Deleted (By Me)" tableColumnId="17"/>
      <queryTableField id="18" name="Messages Deleted (By You)" tableColumnId="18"/>
      <queryTableField id="19" name="My Reactions" tableColumnId="19"/>
      <queryTableField id="20" name="Your Reactions" tableColumnId="20"/>
      <queryTableField id="21" name="My Stickers" tableColumnId="21"/>
      <queryTableField id="22" name="Your Stickers" tableColumnId="22"/>
      <queryTableField id="23" name="My Emojis" tableColumnId="23"/>
      <queryTableField id="24" name="Your Emojis" tableColumnId="24"/>
      <queryTableField id="25" name="Links Sent" tableColumnId="25"/>
      <queryTableField id="26" name="Links Received" tableColumnId="26"/>
      <queryTableField id="27" name="Media Sent" tableColumnId="27"/>
      <queryTableField id="28" name="Media Received"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911154BB-BDE6-46F1-9C10-4B7CED0DC238}" sourceName="Gender">
  <pivotTables>
    <pivotTable tabId="5" name="PivotTable2"/>
    <pivotTable tabId="5" name="PivotTable1"/>
  </pivotTables>
  <data>
    <tabular pivotCacheId="74068890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DBEB406-9551-415E-8AC8-6F2D6C632F25}" cache="Slicer_Gender1" caption="Gender"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5D9AB3-FD92-4C7D-AD6C-5ADB12EFB1A8}" name="excel_project" displayName="excel_project" ref="A1:AC96" tableType="queryTable" totalsRowShown="0">
  <autoFilter ref="A1:AC96" xr:uid="{495D9AB3-FD92-4C7D-AD6C-5ADB12EFB1A8}"/>
  <sortState xmlns:xlrd2="http://schemas.microsoft.com/office/spreadsheetml/2017/richdata2" ref="A2:AB96">
    <sortCondition ref="B1:B96"/>
  </sortState>
  <tableColumns count="29">
    <tableColumn id="1" xr3:uid="{92733C01-6656-4BF4-B1EB-00C1716A8DB6}" uniqueName="1" name="Contact_ID" queryTableFieldId="1" dataDxfId="11"/>
    <tableColumn id="2" xr3:uid="{2F0AE1E6-D628-47AE-8008-3F5B1F27C6D4}" uniqueName="2" name="Contact_Number" queryTableFieldId="2" dataDxfId="10"/>
    <tableColumn id="3" xr3:uid="{5330690B-2DC0-4341-B513-AF267D00F838}" uniqueName="3" name="Gender" queryTableFieldId="3"/>
    <tableColumn id="4" xr3:uid="{B59F7FA7-BBA1-46D7-8E75-355F5FABDD41}" uniqueName="4" name="Days with messages" queryTableFieldId="4"/>
    <tableColumn id="5" xr3:uid="{8A639796-0001-4468-B164-2D3F9E99AD17}" uniqueName="5" name="Total Messages" queryTableFieldId="5"/>
    <tableColumn id="6" xr3:uid="{30373CE9-B2D7-430E-A1FE-DB98E13868B3}" uniqueName="6" name="My Messages" queryTableFieldId="6"/>
    <tableColumn id="7" xr3:uid="{70CCB621-8D9D-4C27-906D-ECC11A411296}" uniqueName="7" name="Your Messages" queryTableFieldId="7"/>
    <tableColumn id="8" xr3:uid="{9C63E1EC-D7AA-42BD-9E08-4E18DEF7C118}" uniqueName="8" name="Doc Sent" queryTableFieldId="8"/>
    <tableColumn id="9" xr3:uid="{7DA68984-A5E7-4363-8D4B-0302CE0434DE}" uniqueName="9" name="Doc Received" queryTableFieldId="9"/>
    <tableColumn id="10" xr3:uid="{FADB0934-3C0D-4DA9-8B30-C11A483760B3}" uniqueName="10" name="Voice Note Sent" queryTableFieldId="10"/>
    <tableColumn id="11" xr3:uid="{B88C288E-A527-4743-97C0-B177BD627DCE}" uniqueName="11" name="Voice Note Received" queryTableFieldId="11"/>
    <tableColumn id="12" xr3:uid="{CA13E5B0-9CD1-4199-80CE-E450CBEF2935}" uniqueName="12" name="Call Sent" queryTableFieldId="12"/>
    <tableColumn id="13" xr3:uid="{2F4EB026-AE4A-4DA0-8966-7B30C46805F0}" uniqueName="13" name="Call Sent (Answered)" queryTableFieldId="13"/>
    <tableColumn id="14" xr3:uid="{01E4588C-534C-4F00-B50D-C70319623680}" uniqueName="14" name="Call Received" queryTableFieldId="14"/>
    <tableColumn id="15" xr3:uid="{2D76774E-599C-4758-82C4-29C8CDADA625}" uniqueName="15" name="Call Received (Answered)" queryTableFieldId="15"/>
    <tableColumn id="16" xr3:uid="{B156DD2B-1D79-4780-A53B-0FC5CC3F87DE}" uniqueName="16" name="Call Duration (min)" queryTableFieldId="16"/>
    <tableColumn id="17" xr3:uid="{7722827D-86D9-49E4-98D7-0175D2B5FBA9}" uniqueName="17" name="Messages Deleted (By Me)" queryTableFieldId="17"/>
    <tableColumn id="18" xr3:uid="{86453365-A110-4465-B6D0-C8A28D7A2C42}" uniqueName="18" name="Messages Deleted (By You)" queryTableFieldId="18"/>
    <tableColumn id="19" xr3:uid="{3765DE91-6168-4E24-BC15-AD0B80F91BA6}" uniqueName="19" name="My Reactions" queryTableFieldId="19"/>
    <tableColumn id="20" xr3:uid="{A9283E38-38CB-4009-8DEF-1495F88BB1FF}" uniqueName="20" name="Your Reactions" queryTableFieldId="20"/>
    <tableColumn id="21" xr3:uid="{D135D17C-6253-4746-AFB8-144B91CF7A64}" uniqueName="21" name="My Stickers" queryTableFieldId="21"/>
    <tableColumn id="22" xr3:uid="{283D54B1-F83F-4D1B-ACA8-4876E4E65A0F}" uniqueName="22" name="Your Stickers" queryTableFieldId="22"/>
    <tableColumn id="23" xr3:uid="{F5313AFF-C36C-4A0D-A7DF-7EDE8CECF05B}" uniqueName="23" name="My Emojis" queryTableFieldId="23"/>
    <tableColumn id="24" xr3:uid="{A1B651D5-46D1-4E17-B3C9-DE163FEE4D9D}" uniqueName="24" name="Your Emojis" queryTableFieldId="24"/>
    <tableColumn id="25" xr3:uid="{C3F834DA-C7E8-40D8-B5F3-1001064A136E}" uniqueName="25" name="Links Sent" queryTableFieldId="25"/>
    <tableColumn id="26" xr3:uid="{A15F4698-2E5D-4DEC-B53B-FB0919D00CED}" uniqueName="26" name="Links Received" queryTableFieldId="26"/>
    <tableColumn id="27" xr3:uid="{F8D6A0A2-2EC5-445A-8B3E-98A5891D3691}" uniqueName="27" name="Media Sent" queryTableFieldId="27"/>
    <tableColumn id="28" xr3:uid="{A7173702-D820-4528-B6EA-2998A73D5D5E}" uniqueName="28" name="Media Received" queryTableFieldId="28"/>
    <tableColumn id="29" xr3:uid="{7B7C9F64-5EEE-4B48-80FF-57F02CD5898C}" uniqueName="29" name="Activity_Level" queryTableFieldId="29" dataDxfId="9">
      <calculatedColumnFormula array="1">_xlfn.IFS(excel_project[[#This Row],[Total Messages]]&gt;=600,"Very High",excel_project[[#This Row],[Total Messages]]&gt;=300,"High",excel_project[[#This Row],[Total Messages]]&gt;=100,"Medium",TRUE,"Low")</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B05CF-9F7A-4817-8386-E5EAB6DBFD94}">
  <dimension ref="A3:I8"/>
  <sheetViews>
    <sheetView workbookViewId="0">
      <selection activeCell="L20" sqref="L20"/>
    </sheetView>
  </sheetViews>
  <sheetFormatPr defaultRowHeight="14.4"/>
  <cols>
    <col min="1" max="1" width="12.44140625" bestFit="1" customWidth="1"/>
    <col min="2" max="2" width="19.6640625" bestFit="1" customWidth="1"/>
    <col min="3" max="3" width="17.88671875" bestFit="1" customWidth="1"/>
    <col min="4" max="4" width="19.21875" bestFit="1" customWidth="1"/>
    <col min="7" max="7" width="12.44140625" bestFit="1" customWidth="1"/>
    <col min="8" max="8" width="17.44140625" bestFit="1" customWidth="1"/>
    <col min="9" max="9" width="19.6640625" bestFit="1" customWidth="1"/>
  </cols>
  <sheetData>
    <row r="3" spans="1:9">
      <c r="A3" s="4" t="s">
        <v>152</v>
      </c>
      <c r="B3" t="s">
        <v>154</v>
      </c>
      <c r="C3" t="s">
        <v>155</v>
      </c>
      <c r="D3" t="s">
        <v>156</v>
      </c>
      <c r="G3" s="4" t="s">
        <v>152</v>
      </c>
      <c r="H3" t="s">
        <v>161</v>
      </c>
      <c r="I3" t="s">
        <v>154</v>
      </c>
    </row>
    <row r="4" spans="1:9">
      <c r="A4" s="5" t="s">
        <v>62</v>
      </c>
      <c r="B4">
        <v>843</v>
      </c>
      <c r="C4">
        <v>478</v>
      </c>
      <c r="D4">
        <v>365</v>
      </c>
      <c r="G4" s="5" t="s">
        <v>157</v>
      </c>
      <c r="H4">
        <v>4</v>
      </c>
      <c r="I4">
        <v>1476</v>
      </c>
    </row>
    <row r="5" spans="1:9">
      <c r="A5" s="5" t="s">
        <v>29</v>
      </c>
      <c r="B5">
        <v>12987</v>
      </c>
      <c r="C5">
        <v>6751</v>
      </c>
      <c r="D5">
        <v>6210</v>
      </c>
      <c r="G5" s="5" t="s">
        <v>158</v>
      </c>
      <c r="H5">
        <v>70</v>
      </c>
      <c r="I5">
        <v>1677</v>
      </c>
    </row>
    <row r="6" spans="1:9">
      <c r="A6" s="5" t="s">
        <v>153</v>
      </c>
      <c r="B6">
        <v>13830</v>
      </c>
      <c r="C6">
        <v>7229</v>
      </c>
      <c r="D6">
        <v>6575</v>
      </c>
      <c r="G6" s="5" t="s">
        <v>159</v>
      </c>
      <c r="H6">
        <v>15</v>
      </c>
      <c r="I6">
        <v>2655</v>
      </c>
    </row>
    <row r="7" spans="1:9">
      <c r="G7" s="5" t="s">
        <v>160</v>
      </c>
      <c r="H7">
        <v>6</v>
      </c>
      <c r="I7">
        <v>8022</v>
      </c>
    </row>
    <row r="8" spans="1:9">
      <c r="G8" s="5" t="s">
        <v>153</v>
      </c>
      <c r="H8">
        <v>95</v>
      </c>
      <c r="I8">
        <v>13830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D80B-308C-4FBE-A47A-0482CCF7932B}">
  <dimension ref="A1:AC96"/>
  <sheetViews>
    <sheetView zoomScale="83" zoomScaleNormal="115" workbookViewId="0">
      <selection activeCell="G17" sqref="G17"/>
    </sheetView>
  </sheetViews>
  <sheetFormatPr defaultRowHeight="14.4"/>
  <cols>
    <col min="1" max="1" width="12.33203125" bestFit="1" customWidth="1"/>
    <col min="2" max="2" width="17.44140625" bestFit="1" customWidth="1"/>
    <col min="3" max="3" width="9.33203125" bestFit="1" customWidth="1"/>
    <col min="4" max="4" width="19.88671875" bestFit="1" customWidth="1"/>
    <col min="5" max="5" width="15.77734375" bestFit="1" customWidth="1"/>
    <col min="6" max="6" width="13.88671875" bestFit="1" customWidth="1"/>
    <col min="7" max="7" width="15.33203125" bestFit="1" customWidth="1"/>
    <col min="8" max="8" width="10.5546875" bestFit="1" customWidth="1"/>
    <col min="9" max="9" width="14.44140625" bestFit="1" customWidth="1"/>
    <col min="10" max="10" width="16.44140625" bestFit="1" customWidth="1"/>
    <col min="11" max="11" width="20.44140625" bestFit="1" customWidth="1"/>
    <col min="12" max="12" width="10.6640625" bestFit="1" customWidth="1"/>
    <col min="13" max="13" width="20.6640625" bestFit="1" customWidth="1"/>
    <col min="14" max="14" width="14.5546875" bestFit="1" customWidth="1"/>
    <col min="15" max="15" width="24.6640625" bestFit="1" customWidth="1"/>
    <col min="16" max="16" width="19" bestFit="1" customWidth="1"/>
    <col min="17" max="17" width="24.88671875" bestFit="1" customWidth="1"/>
    <col min="18" max="18" width="25.44140625" bestFit="1" customWidth="1"/>
    <col min="19" max="19" width="14.109375" bestFit="1" customWidth="1"/>
    <col min="20" max="20" width="15.5546875" bestFit="1" customWidth="1"/>
    <col min="21" max="21" width="12.77734375" bestFit="1" customWidth="1"/>
    <col min="22" max="22" width="14.109375" bestFit="1" customWidth="1"/>
    <col min="23" max="23" width="11.5546875" bestFit="1" customWidth="1"/>
    <col min="24" max="24" width="12.88671875" bestFit="1" customWidth="1"/>
    <col min="25" max="25" width="11.6640625" bestFit="1" customWidth="1"/>
    <col min="26" max="26" width="15.6640625" bestFit="1" customWidth="1"/>
    <col min="27" max="27" width="12.44140625" bestFit="1" customWidth="1"/>
    <col min="28" max="28" width="16.44140625" bestFit="1" customWidth="1"/>
    <col min="29" max="29" width="16.44140625" customWidth="1"/>
  </cols>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131</v>
      </c>
    </row>
    <row r="2" spans="1:29">
      <c r="A2" t="s">
        <v>39</v>
      </c>
      <c r="B2">
        <v>1</v>
      </c>
      <c r="C2" t="s">
        <v>29</v>
      </c>
      <c r="D2">
        <v>16</v>
      </c>
      <c r="E2">
        <v>183</v>
      </c>
      <c r="F2">
        <v>125</v>
      </c>
      <c r="G2">
        <v>58</v>
      </c>
      <c r="H2">
        <v>0</v>
      </c>
      <c r="I2">
        <v>0</v>
      </c>
      <c r="J2">
        <v>28</v>
      </c>
      <c r="K2">
        <v>24</v>
      </c>
      <c r="L2">
        <v>1</v>
      </c>
      <c r="M2">
        <v>1</v>
      </c>
      <c r="N2">
        <v>0</v>
      </c>
      <c r="O2">
        <v>0</v>
      </c>
      <c r="P2">
        <v>0.85</v>
      </c>
      <c r="Q2">
        <v>3</v>
      </c>
      <c r="R2">
        <v>0</v>
      </c>
      <c r="S2">
        <v>0</v>
      </c>
      <c r="T2">
        <v>0</v>
      </c>
      <c r="U2">
        <v>0</v>
      </c>
      <c r="V2">
        <v>0</v>
      </c>
      <c r="W2">
        <v>0</v>
      </c>
      <c r="X2">
        <v>1</v>
      </c>
      <c r="Y2">
        <v>0</v>
      </c>
      <c r="Z2">
        <v>0</v>
      </c>
      <c r="AA2">
        <v>42</v>
      </c>
      <c r="AB2">
        <v>1</v>
      </c>
      <c r="AC2" t="str" cm="1">
        <f t="array" ref="AC2">_xlfn.IFS(excel_project[[#This Row],[Total Messages]]&gt;=600,"Very High",excel_project[[#This Row],[Total Messages]]&gt;=300,"High",excel_project[[#This Row],[Total Messages]]&gt;=100,"Medium",TRUE,"Low")</f>
        <v>Medium</v>
      </c>
    </row>
    <row r="3" spans="1:29">
      <c r="A3" t="s">
        <v>50</v>
      </c>
      <c r="B3">
        <v>2</v>
      </c>
      <c r="C3" t="s">
        <v>29</v>
      </c>
      <c r="D3">
        <v>84</v>
      </c>
      <c r="E3">
        <v>1457</v>
      </c>
      <c r="F3">
        <v>777</v>
      </c>
      <c r="G3">
        <v>680</v>
      </c>
      <c r="H3">
        <v>8</v>
      </c>
      <c r="I3">
        <v>4</v>
      </c>
      <c r="J3">
        <v>17</v>
      </c>
      <c r="K3">
        <v>5</v>
      </c>
      <c r="L3">
        <v>2</v>
      </c>
      <c r="M3">
        <v>2</v>
      </c>
      <c r="N3">
        <v>7</v>
      </c>
      <c r="O3">
        <v>0</v>
      </c>
      <c r="P3">
        <v>0.64</v>
      </c>
      <c r="Q3">
        <v>7</v>
      </c>
      <c r="R3">
        <v>3</v>
      </c>
      <c r="S3">
        <v>37</v>
      </c>
      <c r="T3">
        <v>22</v>
      </c>
      <c r="U3">
        <v>0</v>
      </c>
      <c r="V3">
        <v>0</v>
      </c>
      <c r="W3">
        <v>1</v>
      </c>
      <c r="X3">
        <v>2</v>
      </c>
      <c r="Y3">
        <v>2</v>
      </c>
      <c r="Z3">
        <v>2</v>
      </c>
      <c r="AA3">
        <v>14</v>
      </c>
      <c r="AB3">
        <v>2</v>
      </c>
      <c r="AC3" t="str" cm="1">
        <f t="array" ref="AC3">_xlfn.IFS(excel_project[[#This Row],[Total Messages]]&gt;=600,"Very High",excel_project[[#This Row],[Total Messages]]&gt;=300,"High",excel_project[[#This Row],[Total Messages]]&gt;=100,"Medium",TRUE,"Low")</f>
        <v>Very High</v>
      </c>
    </row>
    <row r="4" spans="1:29">
      <c r="A4" t="s">
        <v>61</v>
      </c>
      <c r="B4">
        <v>3</v>
      </c>
      <c r="C4" t="s">
        <v>62</v>
      </c>
      <c r="D4">
        <v>61</v>
      </c>
      <c r="E4">
        <v>210</v>
      </c>
      <c r="F4">
        <v>147</v>
      </c>
      <c r="G4">
        <v>63</v>
      </c>
      <c r="H4">
        <v>0</v>
      </c>
      <c r="I4">
        <v>0</v>
      </c>
      <c r="J4">
        <v>2</v>
      </c>
      <c r="K4">
        <v>7</v>
      </c>
      <c r="L4">
        <v>0</v>
      </c>
      <c r="M4">
        <v>0</v>
      </c>
      <c r="N4">
        <v>29</v>
      </c>
      <c r="O4">
        <v>1</v>
      </c>
      <c r="P4">
        <v>0.47</v>
      </c>
      <c r="Q4">
        <v>5</v>
      </c>
      <c r="R4">
        <v>2</v>
      </c>
      <c r="S4">
        <v>0</v>
      </c>
      <c r="T4">
        <v>1</v>
      </c>
      <c r="U4">
        <v>0</v>
      </c>
      <c r="V4">
        <v>1</v>
      </c>
      <c r="W4">
        <v>0</v>
      </c>
      <c r="X4">
        <v>1</v>
      </c>
      <c r="Y4">
        <v>2</v>
      </c>
      <c r="Z4">
        <v>0</v>
      </c>
      <c r="AA4">
        <v>5</v>
      </c>
      <c r="AB4">
        <v>5</v>
      </c>
      <c r="AC4" t="str" cm="1">
        <f t="array" ref="AC4">_xlfn.IFS(excel_project[[#This Row],[Total Messages]]&gt;=600,"Very High",excel_project[[#This Row],[Total Messages]]&gt;=300,"High",excel_project[[#This Row],[Total Messages]]&gt;=100,"Medium",TRUE,"Low")</f>
        <v>Medium</v>
      </c>
    </row>
    <row r="5" spans="1:29">
      <c r="A5" t="s">
        <v>73</v>
      </c>
      <c r="B5">
        <v>4</v>
      </c>
      <c r="C5" t="s">
        <v>62</v>
      </c>
      <c r="D5">
        <v>37</v>
      </c>
      <c r="E5">
        <v>370</v>
      </c>
      <c r="F5">
        <v>208</v>
      </c>
      <c r="G5">
        <v>162</v>
      </c>
      <c r="H5">
        <v>1</v>
      </c>
      <c r="I5">
        <v>1</v>
      </c>
      <c r="J5">
        <v>0</v>
      </c>
      <c r="K5">
        <v>0</v>
      </c>
      <c r="L5">
        <v>0</v>
      </c>
      <c r="M5">
        <v>0</v>
      </c>
      <c r="N5">
        <v>0</v>
      </c>
      <c r="O5">
        <v>0</v>
      </c>
      <c r="P5">
        <v>0</v>
      </c>
      <c r="Q5">
        <v>9</v>
      </c>
      <c r="R5">
        <v>2</v>
      </c>
      <c r="S5">
        <v>4</v>
      </c>
      <c r="T5">
        <v>9</v>
      </c>
      <c r="U5">
        <v>0</v>
      </c>
      <c r="V5">
        <v>0</v>
      </c>
      <c r="W5">
        <v>0</v>
      </c>
      <c r="X5">
        <v>0</v>
      </c>
      <c r="Y5">
        <v>1</v>
      </c>
      <c r="Z5">
        <v>2</v>
      </c>
      <c r="AA5">
        <v>4</v>
      </c>
      <c r="AB5">
        <v>1</v>
      </c>
      <c r="AC5" t="str" cm="1">
        <f t="array" ref="AC5">_xlfn.IFS(excel_project[[#This Row],[Total Messages]]&gt;=600,"Very High",excel_project[[#This Row],[Total Messages]]&gt;=300,"High",excel_project[[#This Row],[Total Messages]]&gt;=100,"Medium",TRUE,"Low")</f>
        <v>High</v>
      </c>
    </row>
    <row r="6" spans="1:29">
      <c r="A6" t="s">
        <v>84</v>
      </c>
      <c r="B6">
        <v>5</v>
      </c>
      <c r="C6" t="s">
        <v>29</v>
      </c>
      <c r="D6">
        <v>7</v>
      </c>
      <c r="E6">
        <v>48</v>
      </c>
      <c r="F6">
        <v>27</v>
      </c>
      <c r="G6">
        <v>21</v>
      </c>
      <c r="H6">
        <v>0</v>
      </c>
      <c r="I6">
        <v>0</v>
      </c>
      <c r="J6">
        <v>2</v>
      </c>
      <c r="K6">
        <v>2</v>
      </c>
      <c r="L6">
        <v>0</v>
      </c>
      <c r="M6">
        <v>0</v>
      </c>
      <c r="N6">
        <v>0</v>
      </c>
      <c r="O6">
        <v>0</v>
      </c>
      <c r="P6">
        <v>0</v>
      </c>
      <c r="Q6">
        <v>0</v>
      </c>
      <c r="R6">
        <v>0</v>
      </c>
      <c r="S6">
        <v>1</v>
      </c>
      <c r="T6">
        <v>3</v>
      </c>
      <c r="U6">
        <v>0</v>
      </c>
      <c r="V6">
        <v>0</v>
      </c>
      <c r="W6">
        <v>1</v>
      </c>
      <c r="X6">
        <v>1</v>
      </c>
      <c r="Y6">
        <v>0</v>
      </c>
      <c r="Z6">
        <v>0</v>
      </c>
      <c r="AA6">
        <v>0</v>
      </c>
      <c r="AB6">
        <v>0</v>
      </c>
      <c r="AC6" t="str" cm="1">
        <f t="array" ref="AC6">_xlfn.IFS(excel_project[[#This Row],[Total Messages]]&gt;=600,"Very High",excel_project[[#This Row],[Total Messages]]&gt;=300,"High",excel_project[[#This Row],[Total Messages]]&gt;=100,"Medium",TRUE,"Low")</f>
        <v>Low</v>
      </c>
    </row>
    <row r="7" spans="1:29">
      <c r="A7" t="s">
        <v>95</v>
      </c>
      <c r="B7">
        <v>6</v>
      </c>
      <c r="C7" t="s">
        <v>29</v>
      </c>
      <c r="D7">
        <v>45</v>
      </c>
      <c r="E7">
        <v>329</v>
      </c>
      <c r="F7">
        <v>180</v>
      </c>
      <c r="G7">
        <v>149</v>
      </c>
      <c r="H7">
        <v>4</v>
      </c>
      <c r="I7">
        <v>13</v>
      </c>
      <c r="J7">
        <v>31</v>
      </c>
      <c r="K7">
        <v>24</v>
      </c>
      <c r="L7">
        <v>0</v>
      </c>
      <c r="M7">
        <v>0</v>
      </c>
      <c r="N7">
        <v>1</v>
      </c>
      <c r="O7">
        <v>0</v>
      </c>
      <c r="P7">
        <v>0</v>
      </c>
      <c r="Q7">
        <v>0</v>
      </c>
      <c r="R7">
        <v>3</v>
      </c>
      <c r="S7">
        <v>3</v>
      </c>
      <c r="T7">
        <v>3</v>
      </c>
      <c r="U7">
        <v>0</v>
      </c>
      <c r="V7">
        <v>0</v>
      </c>
      <c r="W7">
        <v>0</v>
      </c>
      <c r="X7">
        <v>0</v>
      </c>
      <c r="Y7">
        <v>0</v>
      </c>
      <c r="Z7">
        <v>10</v>
      </c>
      <c r="AA7">
        <v>4</v>
      </c>
      <c r="AB7">
        <v>0</v>
      </c>
      <c r="AC7" t="str" cm="1">
        <f t="array" ref="AC7">_xlfn.IFS(excel_project[[#This Row],[Total Messages]]&gt;=600,"Very High",excel_project[[#This Row],[Total Messages]]&gt;=300,"High",excel_project[[#This Row],[Total Messages]]&gt;=100,"Medium",TRUE,"Low")</f>
        <v>High</v>
      </c>
    </row>
    <row r="8" spans="1:29">
      <c r="A8" t="s">
        <v>106</v>
      </c>
      <c r="B8">
        <v>7</v>
      </c>
      <c r="C8" t="s">
        <v>29</v>
      </c>
      <c r="D8">
        <v>4</v>
      </c>
      <c r="E8">
        <v>16</v>
      </c>
      <c r="F8">
        <v>13</v>
      </c>
      <c r="G8">
        <v>3</v>
      </c>
      <c r="H8">
        <v>0</v>
      </c>
      <c r="I8">
        <v>0</v>
      </c>
      <c r="J8">
        <v>2</v>
      </c>
      <c r="K8">
        <v>1</v>
      </c>
      <c r="L8">
        <v>0</v>
      </c>
      <c r="M8">
        <v>0</v>
      </c>
      <c r="N8">
        <v>0</v>
      </c>
      <c r="O8">
        <v>0</v>
      </c>
      <c r="P8">
        <v>0</v>
      </c>
      <c r="Q8">
        <v>0</v>
      </c>
      <c r="R8">
        <v>0</v>
      </c>
      <c r="S8">
        <v>0</v>
      </c>
      <c r="T8">
        <v>0</v>
      </c>
      <c r="U8">
        <v>0</v>
      </c>
      <c r="V8">
        <v>0</v>
      </c>
      <c r="W8">
        <v>0</v>
      </c>
      <c r="X8">
        <v>0</v>
      </c>
      <c r="Y8">
        <v>0</v>
      </c>
      <c r="Z8">
        <v>0</v>
      </c>
      <c r="AA8">
        <v>1</v>
      </c>
      <c r="AB8">
        <v>1</v>
      </c>
      <c r="AC8" t="str" cm="1">
        <f t="array" ref="AC8">_xlfn.IFS(excel_project[[#This Row],[Total Messages]]&gt;=600,"Very High",excel_project[[#This Row],[Total Messages]]&gt;=300,"High",excel_project[[#This Row],[Total Messages]]&gt;=100,"Medium",TRUE,"Low")</f>
        <v>Low</v>
      </c>
    </row>
    <row r="9" spans="1:29">
      <c r="A9" t="s">
        <v>117</v>
      </c>
      <c r="B9">
        <v>8</v>
      </c>
      <c r="C9" t="s">
        <v>29</v>
      </c>
      <c r="D9">
        <v>3</v>
      </c>
      <c r="E9">
        <v>20</v>
      </c>
      <c r="F9">
        <v>10</v>
      </c>
      <c r="G9">
        <v>10</v>
      </c>
      <c r="H9">
        <v>0</v>
      </c>
      <c r="I9">
        <v>0</v>
      </c>
      <c r="J9">
        <v>2</v>
      </c>
      <c r="K9">
        <v>2</v>
      </c>
      <c r="L9">
        <v>0</v>
      </c>
      <c r="M9">
        <v>0</v>
      </c>
      <c r="N9">
        <v>0</v>
      </c>
      <c r="O9">
        <v>0</v>
      </c>
      <c r="P9">
        <v>0</v>
      </c>
      <c r="Q9">
        <v>0</v>
      </c>
      <c r="R9">
        <v>0</v>
      </c>
      <c r="S9">
        <v>0</v>
      </c>
      <c r="T9">
        <v>1</v>
      </c>
      <c r="U9">
        <v>0</v>
      </c>
      <c r="V9">
        <v>0</v>
      </c>
      <c r="W9">
        <v>0</v>
      </c>
      <c r="X9">
        <v>0</v>
      </c>
      <c r="Y9">
        <v>0</v>
      </c>
      <c r="Z9">
        <v>0</v>
      </c>
      <c r="AA9">
        <v>0</v>
      </c>
      <c r="AB9">
        <v>0</v>
      </c>
      <c r="AC9" t="str" cm="1">
        <f t="array" ref="AC9">_xlfn.IFS(excel_project[[#This Row],[Total Messages]]&gt;=600,"Very High",excel_project[[#This Row],[Total Messages]]&gt;=300,"High",excel_project[[#This Row],[Total Messages]]&gt;=100,"Medium",TRUE,"Low")</f>
        <v>Low</v>
      </c>
    </row>
    <row r="10" spans="1:29">
      <c r="A10" t="s">
        <v>124</v>
      </c>
      <c r="B10">
        <v>9</v>
      </c>
      <c r="C10" t="s">
        <v>29</v>
      </c>
      <c r="D10">
        <v>55</v>
      </c>
      <c r="E10">
        <v>732</v>
      </c>
      <c r="F10">
        <v>440</v>
      </c>
      <c r="G10">
        <v>291</v>
      </c>
      <c r="H10">
        <v>22</v>
      </c>
      <c r="I10">
        <v>3</v>
      </c>
      <c r="J10">
        <v>35</v>
      </c>
      <c r="K10">
        <v>0</v>
      </c>
      <c r="L10">
        <v>4</v>
      </c>
      <c r="M10">
        <v>0</v>
      </c>
      <c r="N10">
        <v>15</v>
      </c>
      <c r="O10">
        <v>2</v>
      </c>
      <c r="P10">
        <v>0.77</v>
      </c>
      <c r="Q10">
        <v>0</v>
      </c>
      <c r="R10">
        <v>0</v>
      </c>
      <c r="S10">
        <v>5</v>
      </c>
      <c r="T10">
        <v>9</v>
      </c>
      <c r="U10">
        <v>0</v>
      </c>
      <c r="V10">
        <v>0</v>
      </c>
      <c r="W10">
        <v>0</v>
      </c>
      <c r="X10">
        <v>0</v>
      </c>
      <c r="Y10">
        <v>1</v>
      </c>
      <c r="Z10">
        <v>0</v>
      </c>
      <c r="AA10">
        <v>27</v>
      </c>
      <c r="AB10">
        <v>1</v>
      </c>
      <c r="AC10" t="str" cm="1">
        <f t="array" ref="AC10">_xlfn.IFS(excel_project[[#This Row],[Total Messages]]&gt;=600,"Very High",excel_project[[#This Row],[Total Messages]]&gt;=300,"High",excel_project[[#This Row],[Total Messages]]&gt;=100,"Medium",TRUE,"Low")</f>
        <v>Very High</v>
      </c>
    </row>
    <row r="11" spans="1:29">
      <c r="A11" t="s">
        <v>28</v>
      </c>
      <c r="B11">
        <v>10</v>
      </c>
      <c r="C11" t="s">
        <v>29</v>
      </c>
      <c r="D11">
        <v>7</v>
      </c>
      <c r="E11">
        <v>50</v>
      </c>
      <c r="F11">
        <v>30</v>
      </c>
      <c r="G11">
        <v>20</v>
      </c>
      <c r="H11">
        <v>1</v>
      </c>
      <c r="I11">
        <v>2</v>
      </c>
      <c r="J11">
        <v>0</v>
      </c>
      <c r="K11">
        <v>0</v>
      </c>
      <c r="L11">
        <v>0</v>
      </c>
      <c r="M11">
        <v>0</v>
      </c>
      <c r="N11">
        <v>0</v>
      </c>
      <c r="O11">
        <v>0</v>
      </c>
      <c r="P11">
        <v>0</v>
      </c>
      <c r="Q11">
        <v>0</v>
      </c>
      <c r="R11">
        <v>0</v>
      </c>
      <c r="S11">
        <v>1</v>
      </c>
      <c r="T11">
        <v>5</v>
      </c>
      <c r="U11">
        <v>0</v>
      </c>
      <c r="V11">
        <v>0</v>
      </c>
      <c r="W11">
        <v>0</v>
      </c>
      <c r="X11">
        <v>0</v>
      </c>
      <c r="Y11">
        <v>0</v>
      </c>
      <c r="Z11">
        <v>0</v>
      </c>
      <c r="AA11">
        <v>2</v>
      </c>
      <c r="AB11">
        <v>0</v>
      </c>
      <c r="AC11" t="str" cm="1">
        <f t="array" ref="AC11">_xlfn.IFS(excel_project[[#This Row],[Total Messages]]&gt;=600,"Very High",excel_project[[#This Row],[Total Messages]]&gt;=300,"High",excel_project[[#This Row],[Total Messages]]&gt;=100,"Medium",TRUE,"Low")</f>
        <v>Low</v>
      </c>
    </row>
    <row r="12" spans="1:29">
      <c r="A12" t="s">
        <v>30</v>
      </c>
      <c r="B12">
        <v>11</v>
      </c>
      <c r="C12" t="s">
        <v>29</v>
      </c>
      <c r="D12">
        <v>15</v>
      </c>
      <c r="E12">
        <v>123</v>
      </c>
      <c r="F12">
        <v>69</v>
      </c>
      <c r="G12">
        <v>54</v>
      </c>
      <c r="H12">
        <v>0</v>
      </c>
      <c r="I12">
        <v>0</v>
      </c>
      <c r="J12">
        <v>0</v>
      </c>
      <c r="K12">
        <v>1</v>
      </c>
      <c r="L12">
        <v>0</v>
      </c>
      <c r="M12">
        <v>0</v>
      </c>
      <c r="N12">
        <v>0</v>
      </c>
      <c r="O12">
        <v>0</v>
      </c>
      <c r="P12">
        <v>0</v>
      </c>
      <c r="Q12">
        <v>0</v>
      </c>
      <c r="R12">
        <v>0</v>
      </c>
      <c r="S12">
        <v>0</v>
      </c>
      <c r="T12">
        <v>0</v>
      </c>
      <c r="U12">
        <v>0</v>
      </c>
      <c r="V12">
        <v>0</v>
      </c>
      <c r="W12">
        <v>0</v>
      </c>
      <c r="X12">
        <v>0</v>
      </c>
      <c r="Y12">
        <v>0</v>
      </c>
      <c r="Z12">
        <v>1</v>
      </c>
      <c r="AA12">
        <v>2</v>
      </c>
      <c r="AB12">
        <v>0</v>
      </c>
      <c r="AC12" t="str" cm="1">
        <f t="array" ref="AC12">_xlfn.IFS(excel_project[[#This Row],[Total Messages]]&gt;=600,"Very High",excel_project[[#This Row],[Total Messages]]&gt;=300,"High",excel_project[[#This Row],[Total Messages]]&gt;=100,"Medium",TRUE,"Low")</f>
        <v>Medium</v>
      </c>
    </row>
    <row r="13" spans="1:29">
      <c r="A13" t="s">
        <v>31</v>
      </c>
      <c r="B13">
        <v>12</v>
      </c>
      <c r="C13" t="s">
        <v>29</v>
      </c>
      <c r="D13">
        <v>96</v>
      </c>
      <c r="E13">
        <v>2420</v>
      </c>
      <c r="F13">
        <v>1136</v>
      </c>
      <c r="G13">
        <v>1284</v>
      </c>
      <c r="H13">
        <v>10</v>
      </c>
      <c r="I13">
        <v>10</v>
      </c>
      <c r="J13">
        <v>16</v>
      </c>
      <c r="K13">
        <v>20</v>
      </c>
      <c r="L13">
        <v>8</v>
      </c>
      <c r="M13">
        <v>7</v>
      </c>
      <c r="N13">
        <v>87</v>
      </c>
      <c r="O13">
        <v>9</v>
      </c>
      <c r="P13">
        <v>70.209999999999994</v>
      </c>
      <c r="Q13">
        <v>16</v>
      </c>
      <c r="R13">
        <v>50</v>
      </c>
      <c r="S13">
        <v>27</v>
      </c>
      <c r="T13">
        <v>76</v>
      </c>
      <c r="U13">
        <v>0</v>
      </c>
      <c r="V13">
        <v>4</v>
      </c>
      <c r="W13">
        <v>1</v>
      </c>
      <c r="X13">
        <v>26</v>
      </c>
      <c r="Y13">
        <v>4</v>
      </c>
      <c r="Z13">
        <v>8</v>
      </c>
      <c r="AA13">
        <v>19</v>
      </c>
      <c r="AB13">
        <v>9</v>
      </c>
      <c r="AC13" t="str" cm="1">
        <f t="array" ref="AC13">_xlfn.IFS(excel_project[[#This Row],[Total Messages]]&gt;=600,"Very High",excel_project[[#This Row],[Total Messages]]&gt;=300,"High",excel_project[[#This Row],[Total Messages]]&gt;=100,"Medium",TRUE,"Low")</f>
        <v>Very High</v>
      </c>
    </row>
    <row r="14" spans="1:29">
      <c r="A14" t="s">
        <v>32</v>
      </c>
      <c r="B14">
        <v>13</v>
      </c>
      <c r="C14" t="s">
        <v>29</v>
      </c>
      <c r="D14">
        <v>9</v>
      </c>
      <c r="E14">
        <v>29</v>
      </c>
      <c r="F14">
        <v>17</v>
      </c>
      <c r="G14">
        <v>12</v>
      </c>
      <c r="H14">
        <v>0</v>
      </c>
      <c r="I14">
        <v>1</v>
      </c>
      <c r="J14">
        <v>0</v>
      </c>
      <c r="K14">
        <v>0</v>
      </c>
      <c r="L14">
        <v>0</v>
      </c>
      <c r="M14">
        <v>0</v>
      </c>
      <c r="N14">
        <v>0</v>
      </c>
      <c r="O14">
        <v>0</v>
      </c>
      <c r="P14">
        <v>0</v>
      </c>
      <c r="Q14">
        <v>0</v>
      </c>
      <c r="R14">
        <v>0</v>
      </c>
      <c r="S14">
        <v>0</v>
      </c>
      <c r="T14">
        <v>0</v>
      </c>
      <c r="U14">
        <v>0</v>
      </c>
      <c r="V14">
        <v>0</v>
      </c>
      <c r="W14">
        <v>0</v>
      </c>
      <c r="X14">
        <v>0</v>
      </c>
      <c r="Y14">
        <v>0</v>
      </c>
      <c r="Z14">
        <v>0</v>
      </c>
      <c r="AA14">
        <v>1</v>
      </c>
      <c r="AB14">
        <v>0</v>
      </c>
      <c r="AC14" t="str" cm="1">
        <f t="array" ref="AC14">_xlfn.IFS(excel_project[[#This Row],[Total Messages]]&gt;=600,"Very High",excel_project[[#This Row],[Total Messages]]&gt;=300,"High",excel_project[[#This Row],[Total Messages]]&gt;=100,"Medium",TRUE,"Low")</f>
        <v>Low</v>
      </c>
    </row>
    <row r="15" spans="1:29">
      <c r="A15" t="s">
        <v>33</v>
      </c>
      <c r="B15">
        <v>14</v>
      </c>
      <c r="C15" t="s">
        <v>29</v>
      </c>
      <c r="D15">
        <v>9</v>
      </c>
      <c r="E15">
        <v>81</v>
      </c>
      <c r="F15">
        <v>48</v>
      </c>
      <c r="G15">
        <v>33</v>
      </c>
      <c r="H15">
        <v>1</v>
      </c>
      <c r="I15">
        <v>1</v>
      </c>
      <c r="J15">
        <v>0</v>
      </c>
      <c r="K15">
        <v>0</v>
      </c>
      <c r="L15">
        <v>0</v>
      </c>
      <c r="M15">
        <v>0</v>
      </c>
      <c r="N15">
        <v>0</v>
      </c>
      <c r="O15">
        <v>0</v>
      </c>
      <c r="P15">
        <v>0</v>
      </c>
      <c r="Q15">
        <v>0</v>
      </c>
      <c r="R15">
        <v>0</v>
      </c>
      <c r="S15">
        <v>3</v>
      </c>
      <c r="T15">
        <v>4</v>
      </c>
      <c r="U15">
        <v>0</v>
      </c>
      <c r="V15">
        <v>0</v>
      </c>
      <c r="W15">
        <v>0</v>
      </c>
      <c r="X15">
        <v>1</v>
      </c>
      <c r="Y15">
        <v>0</v>
      </c>
      <c r="Z15">
        <v>0</v>
      </c>
      <c r="AA15">
        <v>0</v>
      </c>
      <c r="AB15">
        <v>3</v>
      </c>
      <c r="AC15" t="str" cm="1">
        <f t="array" ref="AC15">_xlfn.IFS(excel_project[[#This Row],[Total Messages]]&gt;=600,"Very High",excel_project[[#This Row],[Total Messages]]&gt;=300,"High",excel_project[[#This Row],[Total Messages]]&gt;=100,"Medium",TRUE,"Low")</f>
        <v>Low</v>
      </c>
    </row>
    <row r="16" spans="1:29">
      <c r="A16" t="s">
        <v>34</v>
      </c>
      <c r="B16">
        <v>15</v>
      </c>
      <c r="C16" t="s">
        <v>29</v>
      </c>
      <c r="D16">
        <v>80</v>
      </c>
      <c r="E16">
        <v>1645</v>
      </c>
      <c r="F16">
        <v>744</v>
      </c>
      <c r="G16">
        <v>879</v>
      </c>
      <c r="H16">
        <v>10</v>
      </c>
      <c r="I16">
        <v>24</v>
      </c>
      <c r="J16">
        <v>48</v>
      </c>
      <c r="K16">
        <v>25</v>
      </c>
      <c r="L16">
        <v>1</v>
      </c>
      <c r="M16">
        <v>0</v>
      </c>
      <c r="N16">
        <v>8</v>
      </c>
      <c r="O16">
        <v>0</v>
      </c>
      <c r="P16">
        <v>0</v>
      </c>
      <c r="Q16">
        <v>6</v>
      </c>
      <c r="R16">
        <v>4</v>
      </c>
      <c r="S16">
        <v>8</v>
      </c>
      <c r="T16">
        <v>15</v>
      </c>
      <c r="U16">
        <v>0</v>
      </c>
      <c r="V16">
        <v>0</v>
      </c>
      <c r="W16">
        <v>0</v>
      </c>
      <c r="X16">
        <v>1</v>
      </c>
      <c r="Y16">
        <v>2</v>
      </c>
      <c r="Z16">
        <v>6</v>
      </c>
      <c r="AA16">
        <v>12</v>
      </c>
      <c r="AB16">
        <v>7</v>
      </c>
      <c r="AC16" t="str" cm="1">
        <f t="array" ref="AC16">_xlfn.IFS(excel_project[[#This Row],[Total Messages]]&gt;=600,"Very High",excel_project[[#This Row],[Total Messages]]&gt;=300,"High",excel_project[[#This Row],[Total Messages]]&gt;=100,"Medium",TRUE,"Low")</f>
        <v>Very High</v>
      </c>
    </row>
    <row r="17" spans="1:29">
      <c r="A17" t="s">
        <v>35</v>
      </c>
      <c r="B17">
        <v>16</v>
      </c>
      <c r="C17" t="s">
        <v>29</v>
      </c>
      <c r="D17">
        <v>35</v>
      </c>
      <c r="E17">
        <v>363</v>
      </c>
      <c r="F17">
        <v>228</v>
      </c>
      <c r="G17">
        <v>135</v>
      </c>
      <c r="H17">
        <v>6</v>
      </c>
      <c r="I17">
        <v>1</v>
      </c>
      <c r="J17">
        <v>8</v>
      </c>
      <c r="K17">
        <v>0</v>
      </c>
      <c r="L17">
        <v>0</v>
      </c>
      <c r="M17">
        <v>0</v>
      </c>
      <c r="N17">
        <v>0</v>
      </c>
      <c r="O17">
        <v>0</v>
      </c>
      <c r="P17">
        <v>0</v>
      </c>
      <c r="Q17">
        <v>1</v>
      </c>
      <c r="R17">
        <v>0</v>
      </c>
      <c r="S17">
        <v>7</v>
      </c>
      <c r="T17">
        <v>14</v>
      </c>
      <c r="U17">
        <v>0</v>
      </c>
      <c r="V17">
        <v>0</v>
      </c>
      <c r="W17">
        <v>0</v>
      </c>
      <c r="X17">
        <v>3</v>
      </c>
      <c r="Y17">
        <v>0</v>
      </c>
      <c r="Z17">
        <v>1</v>
      </c>
      <c r="AA17">
        <v>5</v>
      </c>
      <c r="AB17">
        <v>4</v>
      </c>
      <c r="AC17" t="str" cm="1">
        <f t="array" ref="AC17">_xlfn.IFS(excel_project[[#This Row],[Total Messages]]&gt;=600,"Very High",excel_project[[#This Row],[Total Messages]]&gt;=300,"High",excel_project[[#This Row],[Total Messages]]&gt;=100,"Medium",TRUE,"Low")</f>
        <v>High</v>
      </c>
    </row>
    <row r="18" spans="1:29">
      <c r="A18" t="s">
        <v>36</v>
      </c>
      <c r="B18">
        <v>17</v>
      </c>
      <c r="C18" t="s">
        <v>29</v>
      </c>
      <c r="D18">
        <v>7</v>
      </c>
      <c r="E18">
        <v>54</v>
      </c>
      <c r="F18">
        <v>31</v>
      </c>
      <c r="G18">
        <v>23</v>
      </c>
      <c r="H18">
        <v>0</v>
      </c>
      <c r="I18">
        <v>4</v>
      </c>
      <c r="J18">
        <v>0</v>
      </c>
      <c r="K18">
        <v>0</v>
      </c>
      <c r="L18">
        <v>0</v>
      </c>
      <c r="M18">
        <v>0</v>
      </c>
      <c r="N18">
        <v>0</v>
      </c>
      <c r="O18">
        <v>0</v>
      </c>
      <c r="P18">
        <v>0</v>
      </c>
      <c r="Q18">
        <v>0</v>
      </c>
      <c r="R18">
        <v>0</v>
      </c>
      <c r="S18">
        <v>2</v>
      </c>
      <c r="T18">
        <v>2</v>
      </c>
      <c r="U18">
        <v>0</v>
      </c>
      <c r="V18">
        <v>0</v>
      </c>
      <c r="W18">
        <v>0</v>
      </c>
      <c r="X18">
        <v>0</v>
      </c>
      <c r="Y18">
        <v>0</v>
      </c>
      <c r="Z18">
        <v>0</v>
      </c>
      <c r="AA18">
        <v>0</v>
      </c>
      <c r="AB18">
        <v>1</v>
      </c>
      <c r="AC18" t="str" cm="1">
        <f t="array" ref="AC18">_xlfn.IFS(excel_project[[#This Row],[Total Messages]]&gt;=600,"Very High",excel_project[[#This Row],[Total Messages]]&gt;=300,"High",excel_project[[#This Row],[Total Messages]]&gt;=100,"Medium",TRUE,"Low")</f>
        <v>Low</v>
      </c>
    </row>
    <row r="19" spans="1:29">
      <c r="A19" t="s">
        <v>37</v>
      </c>
      <c r="B19">
        <v>18</v>
      </c>
      <c r="C19" t="s">
        <v>29</v>
      </c>
      <c r="D19">
        <v>53</v>
      </c>
      <c r="E19">
        <v>732</v>
      </c>
      <c r="F19">
        <v>382</v>
      </c>
      <c r="G19">
        <v>350</v>
      </c>
      <c r="H19">
        <v>4</v>
      </c>
      <c r="I19">
        <v>8</v>
      </c>
      <c r="J19">
        <v>76</v>
      </c>
      <c r="K19">
        <v>93</v>
      </c>
      <c r="L19">
        <v>0</v>
      </c>
      <c r="M19">
        <v>0</v>
      </c>
      <c r="N19">
        <v>2</v>
      </c>
      <c r="O19">
        <v>1</v>
      </c>
      <c r="P19">
        <v>60</v>
      </c>
      <c r="Q19">
        <v>5</v>
      </c>
      <c r="R19">
        <v>2</v>
      </c>
      <c r="S19">
        <v>6</v>
      </c>
      <c r="T19">
        <v>22</v>
      </c>
      <c r="U19">
        <v>0</v>
      </c>
      <c r="V19">
        <v>4</v>
      </c>
      <c r="W19">
        <v>0</v>
      </c>
      <c r="X19">
        <v>1</v>
      </c>
      <c r="Y19">
        <v>2</v>
      </c>
      <c r="Z19">
        <v>1</v>
      </c>
      <c r="AA19">
        <v>12</v>
      </c>
      <c r="AB19">
        <v>8</v>
      </c>
      <c r="AC19" t="str" cm="1">
        <f t="array" ref="AC19">_xlfn.IFS(excel_project[[#This Row],[Total Messages]]&gt;=600,"Very High",excel_project[[#This Row],[Total Messages]]&gt;=300,"High",excel_project[[#This Row],[Total Messages]]&gt;=100,"Medium",TRUE,"Low")</f>
        <v>Very High</v>
      </c>
    </row>
    <row r="20" spans="1:29">
      <c r="A20" t="s">
        <v>38</v>
      </c>
      <c r="B20">
        <v>19</v>
      </c>
      <c r="C20" t="s">
        <v>29</v>
      </c>
      <c r="D20">
        <v>34</v>
      </c>
      <c r="E20">
        <v>414</v>
      </c>
      <c r="F20">
        <v>215</v>
      </c>
      <c r="G20">
        <v>199</v>
      </c>
      <c r="H20">
        <v>10</v>
      </c>
      <c r="I20">
        <v>6</v>
      </c>
      <c r="J20">
        <v>7</v>
      </c>
      <c r="K20">
        <v>1</v>
      </c>
      <c r="L20">
        <v>1</v>
      </c>
      <c r="M20">
        <v>0</v>
      </c>
      <c r="N20">
        <v>1</v>
      </c>
      <c r="O20">
        <v>0</v>
      </c>
      <c r="P20">
        <v>0</v>
      </c>
      <c r="Q20">
        <v>0</v>
      </c>
      <c r="R20">
        <v>2</v>
      </c>
      <c r="S20">
        <v>16</v>
      </c>
      <c r="T20">
        <v>8</v>
      </c>
      <c r="U20">
        <v>0</v>
      </c>
      <c r="V20">
        <v>0</v>
      </c>
      <c r="W20">
        <v>0</v>
      </c>
      <c r="X20">
        <v>3</v>
      </c>
      <c r="Y20">
        <v>0</v>
      </c>
      <c r="Z20">
        <v>0</v>
      </c>
      <c r="AA20">
        <v>11</v>
      </c>
      <c r="AB20">
        <v>7</v>
      </c>
      <c r="AC20" t="str" cm="1">
        <f t="array" ref="AC20">_xlfn.IFS(excel_project[[#This Row],[Total Messages]]&gt;=600,"Very High",excel_project[[#This Row],[Total Messages]]&gt;=300,"High",excel_project[[#This Row],[Total Messages]]&gt;=100,"Medium",TRUE,"Low")</f>
        <v>High</v>
      </c>
    </row>
    <row r="21" spans="1:29">
      <c r="A21" t="s">
        <v>40</v>
      </c>
      <c r="B21">
        <v>20</v>
      </c>
      <c r="C21" t="s">
        <v>29</v>
      </c>
      <c r="D21">
        <v>29</v>
      </c>
      <c r="E21">
        <v>239</v>
      </c>
      <c r="F21">
        <v>127</v>
      </c>
      <c r="G21">
        <v>111</v>
      </c>
      <c r="H21">
        <v>8</v>
      </c>
      <c r="I21">
        <v>0</v>
      </c>
      <c r="J21">
        <v>5</v>
      </c>
      <c r="K21">
        <v>0</v>
      </c>
      <c r="L21">
        <v>0</v>
      </c>
      <c r="M21">
        <v>0</v>
      </c>
      <c r="N21">
        <v>2</v>
      </c>
      <c r="O21">
        <v>0</v>
      </c>
      <c r="P21">
        <v>0</v>
      </c>
      <c r="Q21">
        <v>0</v>
      </c>
      <c r="R21">
        <v>2</v>
      </c>
      <c r="S21">
        <v>3</v>
      </c>
      <c r="T21">
        <v>3</v>
      </c>
      <c r="U21">
        <v>0</v>
      </c>
      <c r="V21">
        <v>0</v>
      </c>
      <c r="W21">
        <v>0</v>
      </c>
      <c r="X21">
        <v>0</v>
      </c>
      <c r="Y21">
        <v>0</v>
      </c>
      <c r="Z21">
        <v>0</v>
      </c>
      <c r="AA21">
        <v>4</v>
      </c>
      <c r="AB21">
        <v>0</v>
      </c>
      <c r="AC21" t="str" cm="1">
        <f t="array" ref="AC21">_xlfn.IFS(excel_project[[#This Row],[Total Messages]]&gt;=600,"Very High",excel_project[[#This Row],[Total Messages]]&gt;=300,"High",excel_project[[#This Row],[Total Messages]]&gt;=100,"Medium",TRUE,"Low")</f>
        <v>Medium</v>
      </c>
    </row>
    <row r="22" spans="1:29">
      <c r="A22" t="s">
        <v>41</v>
      </c>
      <c r="B22">
        <v>21</v>
      </c>
      <c r="C22" t="s">
        <v>29</v>
      </c>
      <c r="D22">
        <v>5</v>
      </c>
      <c r="E22">
        <v>55</v>
      </c>
      <c r="F22">
        <v>23</v>
      </c>
      <c r="G22">
        <v>32</v>
      </c>
      <c r="H22">
        <v>0</v>
      </c>
      <c r="I22">
        <v>13</v>
      </c>
      <c r="J22">
        <v>0</v>
      </c>
      <c r="K22">
        <v>0</v>
      </c>
      <c r="L22">
        <v>0</v>
      </c>
      <c r="M22">
        <v>0</v>
      </c>
      <c r="N22">
        <v>0</v>
      </c>
      <c r="O22">
        <v>0</v>
      </c>
      <c r="P22">
        <v>0</v>
      </c>
      <c r="Q22">
        <v>0</v>
      </c>
      <c r="R22">
        <v>0</v>
      </c>
      <c r="S22">
        <v>3</v>
      </c>
      <c r="T22">
        <v>2</v>
      </c>
      <c r="U22">
        <v>0</v>
      </c>
      <c r="V22">
        <v>0</v>
      </c>
      <c r="W22">
        <v>0</v>
      </c>
      <c r="X22">
        <v>0</v>
      </c>
      <c r="Y22">
        <v>0</v>
      </c>
      <c r="Z22">
        <v>1</v>
      </c>
      <c r="AA22">
        <v>0</v>
      </c>
      <c r="AB22">
        <v>0</v>
      </c>
      <c r="AC22" t="str" cm="1">
        <f t="array" ref="AC22">_xlfn.IFS(excel_project[[#This Row],[Total Messages]]&gt;=600,"Very High",excel_project[[#This Row],[Total Messages]]&gt;=300,"High",excel_project[[#This Row],[Total Messages]]&gt;=100,"Medium",TRUE,"Low")</f>
        <v>Low</v>
      </c>
    </row>
    <row r="23" spans="1:29">
      <c r="A23" t="s">
        <v>42</v>
      </c>
      <c r="B23">
        <v>22</v>
      </c>
      <c r="C23" t="s">
        <v>29</v>
      </c>
      <c r="D23">
        <v>16</v>
      </c>
      <c r="E23">
        <v>173</v>
      </c>
      <c r="F23">
        <v>83</v>
      </c>
      <c r="G23">
        <v>89</v>
      </c>
      <c r="H23">
        <v>2</v>
      </c>
      <c r="I23">
        <v>1</v>
      </c>
      <c r="J23">
        <v>5</v>
      </c>
      <c r="K23">
        <v>3</v>
      </c>
      <c r="L23">
        <v>0</v>
      </c>
      <c r="M23">
        <v>0</v>
      </c>
      <c r="N23">
        <v>1</v>
      </c>
      <c r="O23">
        <v>0</v>
      </c>
      <c r="P23">
        <v>0</v>
      </c>
      <c r="Q23">
        <v>2</v>
      </c>
      <c r="R23">
        <v>0</v>
      </c>
      <c r="S23">
        <v>2</v>
      </c>
      <c r="T23">
        <v>6</v>
      </c>
      <c r="U23">
        <v>0</v>
      </c>
      <c r="V23">
        <v>0</v>
      </c>
      <c r="W23">
        <v>0</v>
      </c>
      <c r="X23">
        <v>1</v>
      </c>
      <c r="Y23">
        <v>1</v>
      </c>
      <c r="Z23">
        <v>0</v>
      </c>
      <c r="AA23">
        <v>2</v>
      </c>
      <c r="AB23">
        <v>0</v>
      </c>
      <c r="AC23" t="str" cm="1">
        <f t="array" ref="AC23">_xlfn.IFS(excel_project[[#This Row],[Total Messages]]&gt;=600,"Very High",excel_project[[#This Row],[Total Messages]]&gt;=300,"High",excel_project[[#This Row],[Total Messages]]&gt;=100,"Medium",TRUE,"Low")</f>
        <v>Medium</v>
      </c>
    </row>
    <row r="24" spans="1:29">
      <c r="A24" t="s">
        <v>43</v>
      </c>
      <c r="B24">
        <v>23</v>
      </c>
      <c r="C24" t="s">
        <v>29</v>
      </c>
      <c r="D24">
        <v>2</v>
      </c>
      <c r="E24">
        <v>20</v>
      </c>
      <c r="F24">
        <v>15</v>
      </c>
      <c r="G24">
        <v>5</v>
      </c>
      <c r="H24">
        <v>0</v>
      </c>
      <c r="I24">
        <v>0</v>
      </c>
      <c r="J24">
        <v>0</v>
      </c>
      <c r="K24">
        <v>0</v>
      </c>
      <c r="L24">
        <v>0</v>
      </c>
      <c r="M24">
        <v>0</v>
      </c>
      <c r="N24">
        <v>0</v>
      </c>
      <c r="O24">
        <v>0</v>
      </c>
      <c r="P24">
        <v>0</v>
      </c>
      <c r="Q24">
        <v>0</v>
      </c>
      <c r="R24">
        <v>0</v>
      </c>
      <c r="S24">
        <v>1</v>
      </c>
      <c r="T24">
        <v>1</v>
      </c>
      <c r="U24">
        <v>0</v>
      </c>
      <c r="V24">
        <v>0</v>
      </c>
      <c r="W24">
        <v>0</v>
      </c>
      <c r="X24">
        <v>0</v>
      </c>
      <c r="Y24">
        <v>0</v>
      </c>
      <c r="Z24">
        <v>0</v>
      </c>
      <c r="AA24">
        <v>0</v>
      </c>
      <c r="AB24">
        <v>0</v>
      </c>
      <c r="AC24" t="str" cm="1">
        <f t="array" ref="AC24">_xlfn.IFS(excel_project[[#This Row],[Total Messages]]&gt;=600,"Very High",excel_project[[#This Row],[Total Messages]]&gt;=300,"High",excel_project[[#This Row],[Total Messages]]&gt;=100,"Medium",TRUE,"Low")</f>
        <v>Low</v>
      </c>
    </row>
    <row r="25" spans="1:29">
      <c r="A25" t="s">
        <v>44</v>
      </c>
      <c r="B25">
        <v>24</v>
      </c>
      <c r="C25" t="s">
        <v>29</v>
      </c>
      <c r="D25">
        <v>11</v>
      </c>
      <c r="E25">
        <v>118</v>
      </c>
      <c r="F25">
        <v>70</v>
      </c>
      <c r="G25">
        <v>48</v>
      </c>
      <c r="H25">
        <v>1</v>
      </c>
      <c r="I25">
        <v>3</v>
      </c>
      <c r="J25">
        <v>0</v>
      </c>
      <c r="K25">
        <v>0</v>
      </c>
      <c r="L25">
        <v>0</v>
      </c>
      <c r="M25">
        <v>0</v>
      </c>
      <c r="N25">
        <v>0</v>
      </c>
      <c r="O25">
        <v>0</v>
      </c>
      <c r="P25">
        <v>0</v>
      </c>
      <c r="Q25">
        <v>1</v>
      </c>
      <c r="R25">
        <v>0</v>
      </c>
      <c r="S25">
        <v>2</v>
      </c>
      <c r="T25">
        <v>8</v>
      </c>
      <c r="U25">
        <v>0</v>
      </c>
      <c r="V25">
        <v>0</v>
      </c>
      <c r="W25">
        <v>0</v>
      </c>
      <c r="X25">
        <v>0</v>
      </c>
      <c r="Y25">
        <v>0</v>
      </c>
      <c r="Z25">
        <v>0</v>
      </c>
      <c r="AA25">
        <v>3</v>
      </c>
      <c r="AB25">
        <v>0</v>
      </c>
      <c r="AC25" t="str" cm="1">
        <f t="array" ref="AC25">_xlfn.IFS(excel_project[[#This Row],[Total Messages]]&gt;=600,"Very High",excel_project[[#This Row],[Total Messages]]&gt;=300,"High",excel_project[[#This Row],[Total Messages]]&gt;=100,"Medium",TRUE,"Low")</f>
        <v>Medium</v>
      </c>
    </row>
    <row r="26" spans="1:29">
      <c r="A26" t="s">
        <v>45</v>
      </c>
      <c r="B26">
        <v>25</v>
      </c>
      <c r="C26" t="s">
        <v>29</v>
      </c>
      <c r="D26">
        <v>6</v>
      </c>
      <c r="E26">
        <v>37</v>
      </c>
      <c r="F26">
        <v>22</v>
      </c>
      <c r="G26">
        <v>15</v>
      </c>
      <c r="H26">
        <v>0</v>
      </c>
      <c r="I26">
        <v>0</v>
      </c>
      <c r="J26">
        <v>0</v>
      </c>
      <c r="K26">
        <v>0</v>
      </c>
      <c r="L26">
        <v>0</v>
      </c>
      <c r="M26">
        <v>0</v>
      </c>
      <c r="N26">
        <v>0</v>
      </c>
      <c r="O26">
        <v>0</v>
      </c>
      <c r="P26">
        <v>0</v>
      </c>
      <c r="Q26">
        <v>0</v>
      </c>
      <c r="R26">
        <v>0</v>
      </c>
      <c r="S26">
        <v>1</v>
      </c>
      <c r="T26">
        <v>3</v>
      </c>
      <c r="U26">
        <v>0</v>
      </c>
      <c r="V26">
        <v>0</v>
      </c>
      <c r="W26">
        <v>0</v>
      </c>
      <c r="X26">
        <v>0</v>
      </c>
      <c r="Y26">
        <v>0</v>
      </c>
      <c r="Z26">
        <v>0</v>
      </c>
      <c r="AA26">
        <v>0</v>
      </c>
      <c r="AB26">
        <v>0</v>
      </c>
      <c r="AC26" t="str" cm="1">
        <f t="array" ref="AC26">_xlfn.IFS(excel_project[[#This Row],[Total Messages]]&gt;=600,"Very High",excel_project[[#This Row],[Total Messages]]&gt;=300,"High",excel_project[[#This Row],[Total Messages]]&gt;=100,"Medium",TRUE,"Low")</f>
        <v>Low</v>
      </c>
    </row>
    <row r="27" spans="1:29">
      <c r="A27" t="s">
        <v>46</v>
      </c>
      <c r="B27">
        <v>26</v>
      </c>
      <c r="C27" t="s">
        <v>29</v>
      </c>
      <c r="D27">
        <v>2</v>
      </c>
      <c r="E27">
        <v>7</v>
      </c>
      <c r="F27">
        <v>4</v>
      </c>
      <c r="G27">
        <v>3</v>
      </c>
      <c r="H27">
        <v>0</v>
      </c>
      <c r="I27">
        <v>1</v>
      </c>
      <c r="J27">
        <v>0</v>
      </c>
      <c r="K27">
        <v>0</v>
      </c>
      <c r="L27">
        <v>0</v>
      </c>
      <c r="M27">
        <v>0</v>
      </c>
      <c r="N27">
        <v>0</v>
      </c>
      <c r="O27">
        <v>0</v>
      </c>
      <c r="P27">
        <v>0</v>
      </c>
      <c r="Q27">
        <v>0</v>
      </c>
      <c r="R27">
        <v>0</v>
      </c>
      <c r="S27">
        <v>0</v>
      </c>
      <c r="T27">
        <v>1</v>
      </c>
      <c r="U27">
        <v>0</v>
      </c>
      <c r="V27">
        <v>0</v>
      </c>
      <c r="W27">
        <v>0</v>
      </c>
      <c r="X27">
        <v>0</v>
      </c>
      <c r="Y27">
        <v>0</v>
      </c>
      <c r="Z27">
        <v>0</v>
      </c>
      <c r="AA27">
        <v>0</v>
      </c>
      <c r="AB27">
        <v>0</v>
      </c>
      <c r="AC27" t="str" cm="1">
        <f t="array" ref="AC27">_xlfn.IFS(excel_project[[#This Row],[Total Messages]]&gt;=600,"Very High",excel_project[[#This Row],[Total Messages]]&gt;=300,"High",excel_project[[#This Row],[Total Messages]]&gt;=100,"Medium",TRUE,"Low")</f>
        <v>Low</v>
      </c>
    </row>
    <row r="28" spans="1:29">
      <c r="A28" t="s">
        <v>47</v>
      </c>
      <c r="B28">
        <v>27</v>
      </c>
      <c r="C28" t="s">
        <v>29</v>
      </c>
      <c r="D28">
        <v>11</v>
      </c>
      <c r="E28">
        <v>121</v>
      </c>
      <c r="F28">
        <v>63</v>
      </c>
      <c r="G28">
        <v>58</v>
      </c>
      <c r="H28">
        <v>0</v>
      </c>
      <c r="I28">
        <v>1</v>
      </c>
      <c r="J28">
        <v>0</v>
      </c>
      <c r="K28">
        <v>6</v>
      </c>
      <c r="L28">
        <v>0</v>
      </c>
      <c r="M28">
        <v>0</v>
      </c>
      <c r="N28">
        <v>0</v>
      </c>
      <c r="O28">
        <v>0</v>
      </c>
      <c r="P28">
        <v>0</v>
      </c>
      <c r="Q28">
        <v>0</v>
      </c>
      <c r="R28">
        <v>0</v>
      </c>
      <c r="S28">
        <v>0</v>
      </c>
      <c r="T28">
        <v>1</v>
      </c>
      <c r="U28">
        <v>0</v>
      </c>
      <c r="V28">
        <v>0</v>
      </c>
      <c r="W28">
        <v>0</v>
      </c>
      <c r="X28">
        <v>0</v>
      </c>
      <c r="Y28">
        <v>0</v>
      </c>
      <c r="Z28">
        <v>0</v>
      </c>
      <c r="AA28">
        <v>0</v>
      </c>
      <c r="AB28">
        <v>0</v>
      </c>
      <c r="AC28" t="str" cm="1">
        <f t="array" ref="AC28">_xlfn.IFS(excel_project[[#This Row],[Total Messages]]&gt;=600,"Very High",excel_project[[#This Row],[Total Messages]]&gt;=300,"High",excel_project[[#This Row],[Total Messages]]&gt;=100,"Medium",TRUE,"Low")</f>
        <v>Medium</v>
      </c>
    </row>
    <row r="29" spans="1:29">
      <c r="A29" t="s">
        <v>48</v>
      </c>
      <c r="B29">
        <v>28</v>
      </c>
      <c r="C29" t="s">
        <v>29</v>
      </c>
      <c r="D29">
        <v>4</v>
      </c>
      <c r="E29">
        <v>36</v>
      </c>
      <c r="F29">
        <v>23</v>
      </c>
      <c r="G29">
        <v>13</v>
      </c>
      <c r="H29">
        <v>0</v>
      </c>
      <c r="I29">
        <v>0</v>
      </c>
      <c r="J29">
        <v>0</v>
      </c>
      <c r="K29">
        <v>0</v>
      </c>
      <c r="L29">
        <v>0</v>
      </c>
      <c r="M29">
        <v>0</v>
      </c>
      <c r="N29">
        <v>0</v>
      </c>
      <c r="O29">
        <v>0</v>
      </c>
      <c r="P29">
        <v>0</v>
      </c>
      <c r="Q29">
        <v>0</v>
      </c>
      <c r="R29">
        <v>0</v>
      </c>
      <c r="S29">
        <v>1</v>
      </c>
      <c r="T29">
        <v>1</v>
      </c>
      <c r="U29">
        <v>0</v>
      </c>
      <c r="V29">
        <v>0</v>
      </c>
      <c r="W29">
        <v>0</v>
      </c>
      <c r="X29">
        <v>0</v>
      </c>
      <c r="Y29">
        <v>0</v>
      </c>
      <c r="Z29">
        <v>0</v>
      </c>
      <c r="AA29">
        <v>13</v>
      </c>
      <c r="AB29">
        <v>0</v>
      </c>
      <c r="AC29" t="str" cm="1">
        <f t="array" ref="AC29">_xlfn.IFS(excel_project[[#This Row],[Total Messages]]&gt;=600,"Very High",excel_project[[#This Row],[Total Messages]]&gt;=300,"High",excel_project[[#This Row],[Total Messages]]&gt;=100,"Medium",TRUE,"Low")</f>
        <v>Low</v>
      </c>
    </row>
    <row r="30" spans="1:29">
      <c r="A30" t="s">
        <v>49</v>
      </c>
      <c r="B30">
        <v>29</v>
      </c>
      <c r="C30" t="s">
        <v>29</v>
      </c>
      <c r="D30">
        <v>7</v>
      </c>
      <c r="E30">
        <v>50</v>
      </c>
      <c r="F30">
        <v>22</v>
      </c>
      <c r="G30">
        <v>28</v>
      </c>
      <c r="H30">
        <v>1</v>
      </c>
      <c r="I30">
        <v>1</v>
      </c>
      <c r="J30">
        <v>0</v>
      </c>
      <c r="K30">
        <v>0</v>
      </c>
      <c r="L30">
        <v>0</v>
      </c>
      <c r="M30">
        <v>0</v>
      </c>
      <c r="N30">
        <v>0</v>
      </c>
      <c r="O30">
        <v>0</v>
      </c>
      <c r="P30">
        <v>0</v>
      </c>
      <c r="Q30">
        <v>0</v>
      </c>
      <c r="R30">
        <v>0</v>
      </c>
      <c r="S30">
        <v>3</v>
      </c>
      <c r="T30">
        <v>5</v>
      </c>
      <c r="U30">
        <v>0</v>
      </c>
      <c r="V30">
        <v>9</v>
      </c>
      <c r="W30">
        <v>0</v>
      </c>
      <c r="X30">
        <v>0</v>
      </c>
      <c r="Y30">
        <v>0</v>
      </c>
      <c r="Z30">
        <v>0</v>
      </c>
      <c r="AA30">
        <v>0</v>
      </c>
      <c r="AB30">
        <v>0</v>
      </c>
      <c r="AC30" t="str" cm="1">
        <f t="array" ref="AC30">_xlfn.IFS(excel_project[[#This Row],[Total Messages]]&gt;=600,"Very High",excel_project[[#This Row],[Total Messages]]&gt;=300,"High",excel_project[[#This Row],[Total Messages]]&gt;=100,"Medium",TRUE,"Low")</f>
        <v>Low</v>
      </c>
    </row>
    <row r="31" spans="1:29">
      <c r="A31" t="s">
        <v>51</v>
      </c>
      <c r="B31">
        <v>30</v>
      </c>
      <c r="C31" t="s">
        <v>29</v>
      </c>
      <c r="D31">
        <v>4</v>
      </c>
      <c r="E31">
        <v>25</v>
      </c>
      <c r="F31">
        <v>13</v>
      </c>
      <c r="G31">
        <v>12</v>
      </c>
      <c r="H31">
        <v>0</v>
      </c>
      <c r="I31">
        <v>0</v>
      </c>
      <c r="J31">
        <v>0</v>
      </c>
      <c r="K31">
        <v>0</v>
      </c>
      <c r="L31">
        <v>0</v>
      </c>
      <c r="M31">
        <v>0</v>
      </c>
      <c r="N31">
        <v>0</v>
      </c>
      <c r="O31">
        <v>0</v>
      </c>
      <c r="P31">
        <v>0</v>
      </c>
      <c r="Q31">
        <v>0</v>
      </c>
      <c r="R31">
        <v>0</v>
      </c>
      <c r="S31">
        <v>1</v>
      </c>
      <c r="T31">
        <v>1</v>
      </c>
      <c r="U31">
        <v>0</v>
      </c>
      <c r="V31">
        <v>0</v>
      </c>
      <c r="W31">
        <v>0</v>
      </c>
      <c r="X31">
        <v>0</v>
      </c>
      <c r="Y31">
        <v>0</v>
      </c>
      <c r="Z31">
        <v>0</v>
      </c>
      <c r="AA31">
        <v>0</v>
      </c>
      <c r="AB31">
        <v>0</v>
      </c>
      <c r="AC31" t="str" cm="1">
        <f t="array" ref="AC31">_xlfn.IFS(excel_project[[#This Row],[Total Messages]]&gt;=600,"Very High",excel_project[[#This Row],[Total Messages]]&gt;=300,"High",excel_project[[#This Row],[Total Messages]]&gt;=100,"Medium",TRUE,"Low")</f>
        <v>Low</v>
      </c>
    </row>
    <row r="32" spans="1:29">
      <c r="A32" t="s">
        <v>52</v>
      </c>
      <c r="B32">
        <v>31</v>
      </c>
      <c r="C32" t="s">
        <v>29</v>
      </c>
      <c r="D32">
        <v>2</v>
      </c>
      <c r="E32">
        <v>17</v>
      </c>
      <c r="F32">
        <v>8</v>
      </c>
      <c r="G32">
        <v>9</v>
      </c>
      <c r="H32">
        <v>0</v>
      </c>
      <c r="I32">
        <v>0</v>
      </c>
      <c r="J32">
        <v>0</v>
      </c>
      <c r="K32">
        <v>0</v>
      </c>
      <c r="L32">
        <v>0</v>
      </c>
      <c r="M32">
        <v>0</v>
      </c>
      <c r="N32">
        <v>0</v>
      </c>
      <c r="O32">
        <v>0</v>
      </c>
      <c r="P32">
        <v>0</v>
      </c>
      <c r="Q32">
        <v>0</v>
      </c>
      <c r="R32">
        <v>0</v>
      </c>
      <c r="S32">
        <v>0</v>
      </c>
      <c r="T32">
        <v>1</v>
      </c>
      <c r="U32">
        <v>0</v>
      </c>
      <c r="V32">
        <v>0</v>
      </c>
      <c r="W32">
        <v>0</v>
      </c>
      <c r="X32">
        <v>0</v>
      </c>
      <c r="Y32">
        <v>0</v>
      </c>
      <c r="Z32">
        <v>0</v>
      </c>
      <c r="AA32">
        <v>0</v>
      </c>
      <c r="AB32">
        <v>0</v>
      </c>
      <c r="AC32" t="str" cm="1">
        <f t="array" ref="AC32">_xlfn.IFS(excel_project[[#This Row],[Total Messages]]&gt;=600,"Very High",excel_project[[#This Row],[Total Messages]]&gt;=300,"High",excel_project[[#This Row],[Total Messages]]&gt;=100,"Medium",TRUE,"Low")</f>
        <v>Low</v>
      </c>
    </row>
    <row r="33" spans="1:29">
      <c r="A33" t="s">
        <v>53</v>
      </c>
      <c r="B33">
        <v>32</v>
      </c>
      <c r="C33" t="s">
        <v>29</v>
      </c>
      <c r="D33">
        <v>2</v>
      </c>
      <c r="E33">
        <v>20</v>
      </c>
      <c r="F33">
        <v>10</v>
      </c>
      <c r="G33">
        <v>10</v>
      </c>
      <c r="H33">
        <v>0</v>
      </c>
      <c r="I33">
        <v>0</v>
      </c>
      <c r="J33">
        <v>0</v>
      </c>
      <c r="K33">
        <v>0</v>
      </c>
      <c r="L33">
        <v>0</v>
      </c>
      <c r="M33">
        <v>0</v>
      </c>
      <c r="N33">
        <v>0</v>
      </c>
      <c r="O33">
        <v>0</v>
      </c>
      <c r="P33">
        <v>0</v>
      </c>
      <c r="Q33">
        <v>0</v>
      </c>
      <c r="R33">
        <v>0</v>
      </c>
      <c r="S33">
        <v>1</v>
      </c>
      <c r="T33">
        <v>0</v>
      </c>
      <c r="U33">
        <v>0</v>
      </c>
      <c r="V33">
        <v>0</v>
      </c>
      <c r="W33">
        <v>0</v>
      </c>
      <c r="X33">
        <v>0</v>
      </c>
      <c r="Y33">
        <v>0</v>
      </c>
      <c r="Z33">
        <v>0</v>
      </c>
      <c r="AA33">
        <v>0</v>
      </c>
      <c r="AB33">
        <v>0</v>
      </c>
      <c r="AC33" t="str" cm="1">
        <f t="array" ref="AC33">_xlfn.IFS(excel_project[[#This Row],[Total Messages]]&gt;=600,"Very High",excel_project[[#This Row],[Total Messages]]&gt;=300,"High",excel_project[[#This Row],[Total Messages]]&gt;=100,"Medium",TRUE,"Low")</f>
        <v>Low</v>
      </c>
    </row>
    <row r="34" spans="1:29">
      <c r="A34" t="s">
        <v>54</v>
      </c>
      <c r="B34">
        <v>33</v>
      </c>
      <c r="C34" t="s">
        <v>29</v>
      </c>
      <c r="D34">
        <v>1</v>
      </c>
      <c r="E34">
        <v>18</v>
      </c>
      <c r="F34">
        <v>6</v>
      </c>
      <c r="G34">
        <v>12</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t="str" cm="1">
        <f t="array" ref="AC34">_xlfn.IFS(excel_project[[#This Row],[Total Messages]]&gt;=600,"Very High",excel_project[[#This Row],[Total Messages]]&gt;=300,"High",excel_project[[#This Row],[Total Messages]]&gt;=100,"Medium",TRUE,"Low")</f>
        <v>Low</v>
      </c>
    </row>
    <row r="35" spans="1:29">
      <c r="A35" t="s">
        <v>55</v>
      </c>
      <c r="B35">
        <v>34</v>
      </c>
      <c r="C35" t="s">
        <v>29</v>
      </c>
      <c r="D35">
        <v>2</v>
      </c>
      <c r="E35">
        <v>22</v>
      </c>
      <c r="F35">
        <v>11</v>
      </c>
      <c r="G35">
        <v>11</v>
      </c>
      <c r="H35">
        <v>0</v>
      </c>
      <c r="I35">
        <v>1</v>
      </c>
      <c r="J35">
        <v>0</v>
      </c>
      <c r="K35">
        <v>0</v>
      </c>
      <c r="L35">
        <v>0</v>
      </c>
      <c r="M35">
        <v>0</v>
      </c>
      <c r="N35">
        <v>0</v>
      </c>
      <c r="O35">
        <v>0</v>
      </c>
      <c r="P35">
        <v>0</v>
      </c>
      <c r="Q35">
        <v>0</v>
      </c>
      <c r="R35">
        <v>0</v>
      </c>
      <c r="S35">
        <v>0</v>
      </c>
      <c r="T35">
        <v>2</v>
      </c>
      <c r="U35">
        <v>0</v>
      </c>
      <c r="V35">
        <v>0</v>
      </c>
      <c r="W35">
        <v>0</v>
      </c>
      <c r="X35">
        <v>0</v>
      </c>
      <c r="Y35">
        <v>0</v>
      </c>
      <c r="Z35">
        <v>0</v>
      </c>
      <c r="AA35">
        <v>0</v>
      </c>
      <c r="AB35">
        <v>0</v>
      </c>
      <c r="AC35" t="str" cm="1">
        <f t="array" ref="AC35">_xlfn.IFS(excel_project[[#This Row],[Total Messages]]&gt;=600,"Very High",excel_project[[#This Row],[Total Messages]]&gt;=300,"High",excel_project[[#This Row],[Total Messages]]&gt;=100,"Medium",TRUE,"Low")</f>
        <v>Low</v>
      </c>
    </row>
    <row r="36" spans="1:29">
      <c r="A36" t="s">
        <v>56</v>
      </c>
      <c r="B36">
        <v>35</v>
      </c>
      <c r="C36" t="s">
        <v>29</v>
      </c>
      <c r="D36">
        <v>2</v>
      </c>
      <c r="E36">
        <v>63</v>
      </c>
      <c r="F36">
        <v>32</v>
      </c>
      <c r="G36">
        <v>31</v>
      </c>
      <c r="H36">
        <v>2</v>
      </c>
      <c r="I36">
        <v>4</v>
      </c>
      <c r="J36">
        <v>0</v>
      </c>
      <c r="K36">
        <v>3</v>
      </c>
      <c r="L36">
        <v>0</v>
      </c>
      <c r="M36">
        <v>0</v>
      </c>
      <c r="N36">
        <v>0</v>
      </c>
      <c r="O36">
        <v>0</v>
      </c>
      <c r="P36">
        <v>0</v>
      </c>
      <c r="Q36">
        <v>0</v>
      </c>
      <c r="R36">
        <v>0</v>
      </c>
      <c r="S36">
        <v>3</v>
      </c>
      <c r="T36">
        <v>4</v>
      </c>
      <c r="U36">
        <v>0</v>
      </c>
      <c r="V36">
        <v>0</v>
      </c>
      <c r="W36">
        <v>0</v>
      </c>
      <c r="X36">
        <v>1</v>
      </c>
      <c r="Y36">
        <v>0</v>
      </c>
      <c r="Z36">
        <v>0</v>
      </c>
      <c r="AA36">
        <v>0</v>
      </c>
      <c r="AB36">
        <v>0</v>
      </c>
      <c r="AC36" t="str" cm="1">
        <f t="array" ref="AC36">_xlfn.IFS(excel_project[[#This Row],[Total Messages]]&gt;=600,"Very High",excel_project[[#This Row],[Total Messages]]&gt;=300,"High",excel_project[[#This Row],[Total Messages]]&gt;=100,"Medium",TRUE,"Low")</f>
        <v>Low</v>
      </c>
    </row>
    <row r="37" spans="1:29">
      <c r="A37" t="s">
        <v>57</v>
      </c>
      <c r="B37">
        <v>36</v>
      </c>
      <c r="C37" t="s">
        <v>29</v>
      </c>
      <c r="D37">
        <v>13</v>
      </c>
      <c r="E37">
        <v>101</v>
      </c>
      <c r="F37">
        <v>61</v>
      </c>
      <c r="G37">
        <v>40</v>
      </c>
      <c r="H37">
        <v>3</v>
      </c>
      <c r="I37">
        <v>1</v>
      </c>
      <c r="J37">
        <v>0</v>
      </c>
      <c r="K37">
        <v>1</v>
      </c>
      <c r="L37">
        <v>0</v>
      </c>
      <c r="M37">
        <v>0</v>
      </c>
      <c r="N37">
        <v>0</v>
      </c>
      <c r="O37">
        <v>0</v>
      </c>
      <c r="P37">
        <v>0</v>
      </c>
      <c r="Q37">
        <v>1</v>
      </c>
      <c r="R37">
        <v>0</v>
      </c>
      <c r="S37">
        <v>2</v>
      </c>
      <c r="T37">
        <v>5</v>
      </c>
      <c r="U37">
        <v>0</v>
      </c>
      <c r="V37">
        <v>0</v>
      </c>
      <c r="W37">
        <v>0</v>
      </c>
      <c r="X37">
        <v>0</v>
      </c>
      <c r="Y37">
        <v>1</v>
      </c>
      <c r="Z37">
        <v>0</v>
      </c>
      <c r="AA37">
        <v>0</v>
      </c>
      <c r="AB37">
        <v>2</v>
      </c>
      <c r="AC37" t="str" cm="1">
        <f t="array" ref="AC37">_xlfn.IFS(excel_project[[#This Row],[Total Messages]]&gt;=600,"Very High",excel_project[[#This Row],[Total Messages]]&gt;=300,"High",excel_project[[#This Row],[Total Messages]]&gt;=100,"Medium",TRUE,"Low")</f>
        <v>Medium</v>
      </c>
    </row>
    <row r="38" spans="1:29">
      <c r="A38" t="s">
        <v>58</v>
      </c>
      <c r="B38">
        <v>37</v>
      </c>
      <c r="C38" t="s">
        <v>29</v>
      </c>
      <c r="D38">
        <v>13</v>
      </c>
      <c r="E38">
        <v>152</v>
      </c>
      <c r="F38">
        <v>84</v>
      </c>
      <c r="G38">
        <v>68</v>
      </c>
      <c r="H38">
        <v>2</v>
      </c>
      <c r="I38">
        <v>1</v>
      </c>
      <c r="J38">
        <v>0</v>
      </c>
      <c r="K38">
        <v>2</v>
      </c>
      <c r="L38">
        <v>0</v>
      </c>
      <c r="M38">
        <v>1</v>
      </c>
      <c r="N38">
        <v>3</v>
      </c>
      <c r="O38">
        <v>0</v>
      </c>
      <c r="P38">
        <v>0.56999999999999995</v>
      </c>
      <c r="Q38">
        <v>0</v>
      </c>
      <c r="R38">
        <v>0</v>
      </c>
      <c r="S38">
        <v>1</v>
      </c>
      <c r="T38">
        <v>8</v>
      </c>
      <c r="U38">
        <v>0</v>
      </c>
      <c r="V38">
        <v>0</v>
      </c>
      <c r="W38">
        <v>1</v>
      </c>
      <c r="X38">
        <v>3</v>
      </c>
      <c r="Y38">
        <v>0</v>
      </c>
      <c r="Z38">
        <v>0</v>
      </c>
      <c r="AA38">
        <v>0</v>
      </c>
      <c r="AB38">
        <v>0</v>
      </c>
      <c r="AC38" t="str" cm="1">
        <f t="array" ref="AC38">_xlfn.IFS(excel_project[[#This Row],[Total Messages]]&gt;=600,"Very High",excel_project[[#This Row],[Total Messages]]&gt;=300,"High",excel_project[[#This Row],[Total Messages]]&gt;=100,"Medium",TRUE,"Low")</f>
        <v>Medium</v>
      </c>
    </row>
    <row r="39" spans="1:29">
      <c r="A39" t="s">
        <v>59</v>
      </c>
      <c r="B39">
        <v>38</v>
      </c>
      <c r="C39" t="s">
        <v>29</v>
      </c>
      <c r="D39">
        <v>22</v>
      </c>
      <c r="E39">
        <v>178</v>
      </c>
      <c r="F39">
        <v>114</v>
      </c>
      <c r="G39">
        <v>63</v>
      </c>
      <c r="H39">
        <v>4</v>
      </c>
      <c r="I39">
        <v>0</v>
      </c>
      <c r="J39">
        <v>4</v>
      </c>
      <c r="K39">
        <v>0</v>
      </c>
      <c r="L39">
        <v>1</v>
      </c>
      <c r="M39">
        <v>0</v>
      </c>
      <c r="N39">
        <v>1</v>
      </c>
      <c r="O39">
        <v>0</v>
      </c>
      <c r="P39">
        <v>0</v>
      </c>
      <c r="Q39">
        <v>3</v>
      </c>
      <c r="R39">
        <v>0</v>
      </c>
      <c r="S39">
        <v>2</v>
      </c>
      <c r="T39">
        <v>3</v>
      </c>
      <c r="U39">
        <v>0</v>
      </c>
      <c r="V39">
        <v>7</v>
      </c>
      <c r="W39">
        <v>0</v>
      </c>
      <c r="X39">
        <v>0</v>
      </c>
      <c r="Y39">
        <v>1</v>
      </c>
      <c r="Z39">
        <v>0</v>
      </c>
      <c r="AA39">
        <v>2</v>
      </c>
      <c r="AB39">
        <v>2</v>
      </c>
      <c r="AC39" t="str" cm="1">
        <f t="array" ref="AC39">_xlfn.IFS(excel_project[[#This Row],[Total Messages]]&gt;=600,"Very High",excel_project[[#This Row],[Total Messages]]&gt;=300,"High",excel_project[[#This Row],[Total Messages]]&gt;=100,"Medium",TRUE,"Low")</f>
        <v>Medium</v>
      </c>
    </row>
    <row r="40" spans="1:29">
      <c r="A40" t="s">
        <v>60</v>
      </c>
      <c r="B40">
        <v>39</v>
      </c>
      <c r="C40" t="s">
        <v>29</v>
      </c>
      <c r="D40">
        <v>8</v>
      </c>
      <c r="E40">
        <v>27</v>
      </c>
      <c r="F40">
        <v>12</v>
      </c>
      <c r="G40">
        <v>15</v>
      </c>
      <c r="H40">
        <v>0</v>
      </c>
      <c r="I40">
        <v>0</v>
      </c>
      <c r="J40">
        <v>0</v>
      </c>
      <c r="K40">
        <v>0</v>
      </c>
      <c r="L40">
        <v>2</v>
      </c>
      <c r="M40">
        <v>2</v>
      </c>
      <c r="N40">
        <v>5</v>
      </c>
      <c r="O40">
        <v>3</v>
      </c>
      <c r="P40">
        <v>36.729999999999997</v>
      </c>
      <c r="Q40">
        <v>0</v>
      </c>
      <c r="R40">
        <v>0</v>
      </c>
      <c r="S40">
        <v>0</v>
      </c>
      <c r="T40">
        <v>0</v>
      </c>
      <c r="U40">
        <v>0</v>
      </c>
      <c r="V40">
        <v>0</v>
      </c>
      <c r="W40">
        <v>0</v>
      </c>
      <c r="X40">
        <v>0</v>
      </c>
      <c r="Y40">
        <v>0</v>
      </c>
      <c r="Z40">
        <v>0</v>
      </c>
      <c r="AA40">
        <v>4</v>
      </c>
      <c r="AB40">
        <v>0</v>
      </c>
      <c r="AC40" t="str" cm="1">
        <f t="array" ref="AC40">_xlfn.IFS(excel_project[[#This Row],[Total Messages]]&gt;=600,"Very High",excel_project[[#This Row],[Total Messages]]&gt;=300,"High",excel_project[[#This Row],[Total Messages]]&gt;=100,"Medium",TRUE,"Low")</f>
        <v>Low</v>
      </c>
    </row>
    <row r="41" spans="1:29">
      <c r="A41" t="s">
        <v>63</v>
      </c>
      <c r="B41">
        <v>40</v>
      </c>
      <c r="C41" t="s">
        <v>29</v>
      </c>
      <c r="D41">
        <v>15</v>
      </c>
      <c r="E41">
        <v>246</v>
      </c>
      <c r="F41">
        <v>125</v>
      </c>
      <c r="G41">
        <v>121</v>
      </c>
      <c r="H41">
        <v>0</v>
      </c>
      <c r="I41">
        <v>0</v>
      </c>
      <c r="J41">
        <v>0</v>
      </c>
      <c r="K41">
        <v>0</v>
      </c>
      <c r="L41">
        <v>2</v>
      </c>
      <c r="M41">
        <v>1</v>
      </c>
      <c r="N41">
        <v>0</v>
      </c>
      <c r="O41">
        <v>1</v>
      </c>
      <c r="P41">
        <v>1.48</v>
      </c>
      <c r="Q41">
        <v>8</v>
      </c>
      <c r="R41">
        <v>0</v>
      </c>
      <c r="S41">
        <v>2</v>
      </c>
      <c r="T41">
        <v>2</v>
      </c>
      <c r="U41">
        <v>0</v>
      </c>
      <c r="V41">
        <v>0</v>
      </c>
      <c r="W41">
        <v>0</v>
      </c>
      <c r="X41">
        <v>0</v>
      </c>
      <c r="Y41">
        <v>1</v>
      </c>
      <c r="Z41">
        <v>0</v>
      </c>
      <c r="AA41">
        <v>5</v>
      </c>
      <c r="AB41">
        <v>2</v>
      </c>
      <c r="AC41" t="str" cm="1">
        <f t="array" ref="AC41">_xlfn.IFS(excel_project[[#This Row],[Total Messages]]&gt;=600,"Very High",excel_project[[#This Row],[Total Messages]]&gt;=300,"High",excel_project[[#This Row],[Total Messages]]&gt;=100,"Medium",TRUE,"Low")</f>
        <v>Medium</v>
      </c>
    </row>
    <row r="42" spans="1:29">
      <c r="A42" t="s">
        <v>64</v>
      </c>
      <c r="B42">
        <v>41</v>
      </c>
      <c r="C42" t="s">
        <v>62</v>
      </c>
      <c r="D42">
        <v>17</v>
      </c>
      <c r="E42">
        <v>76</v>
      </c>
      <c r="F42">
        <v>37</v>
      </c>
      <c r="G42">
        <v>39</v>
      </c>
      <c r="H42">
        <v>0</v>
      </c>
      <c r="I42">
        <v>0</v>
      </c>
      <c r="J42">
        <v>2</v>
      </c>
      <c r="K42">
        <v>3</v>
      </c>
      <c r="L42">
        <v>2</v>
      </c>
      <c r="M42">
        <v>1</v>
      </c>
      <c r="N42">
        <v>4</v>
      </c>
      <c r="O42">
        <v>8</v>
      </c>
      <c r="P42">
        <v>88.5</v>
      </c>
      <c r="Q42">
        <v>2</v>
      </c>
      <c r="R42">
        <v>0</v>
      </c>
      <c r="S42">
        <v>0</v>
      </c>
      <c r="T42">
        <v>0</v>
      </c>
      <c r="U42">
        <v>0</v>
      </c>
      <c r="V42">
        <v>5</v>
      </c>
      <c r="W42">
        <v>0</v>
      </c>
      <c r="X42">
        <v>0</v>
      </c>
      <c r="Y42">
        <v>1</v>
      </c>
      <c r="Z42">
        <v>0</v>
      </c>
      <c r="AA42">
        <v>1</v>
      </c>
      <c r="AB42">
        <v>0</v>
      </c>
      <c r="AC42" t="str" cm="1">
        <f t="array" ref="AC42">_xlfn.IFS(excel_project[[#This Row],[Total Messages]]&gt;=600,"Very High",excel_project[[#This Row],[Total Messages]]&gt;=300,"High",excel_project[[#This Row],[Total Messages]]&gt;=100,"Medium",TRUE,"Low")</f>
        <v>Low</v>
      </c>
    </row>
    <row r="43" spans="1:29">
      <c r="A43" t="s">
        <v>65</v>
      </c>
      <c r="B43">
        <v>42</v>
      </c>
      <c r="C43" t="s">
        <v>29</v>
      </c>
      <c r="D43">
        <v>1</v>
      </c>
      <c r="E43">
        <v>5</v>
      </c>
      <c r="F43">
        <v>4</v>
      </c>
      <c r="G43">
        <v>1</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t="str" cm="1">
        <f t="array" ref="AC43">_xlfn.IFS(excel_project[[#This Row],[Total Messages]]&gt;=600,"Very High",excel_project[[#This Row],[Total Messages]]&gt;=300,"High",excel_project[[#This Row],[Total Messages]]&gt;=100,"Medium",TRUE,"Low")</f>
        <v>Low</v>
      </c>
    </row>
    <row r="44" spans="1:29">
      <c r="A44" t="s">
        <v>66</v>
      </c>
      <c r="B44">
        <v>43</v>
      </c>
      <c r="C44" t="s">
        <v>29</v>
      </c>
      <c r="D44">
        <v>25</v>
      </c>
      <c r="E44">
        <v>288</v>
      </c>
      <c r="F44">
        <v>187</v>
      </c>
      <c r="G44">
        <v>101</v>
      </c>
      <c r="H44">
        <v>13</v>
      </c>
      <c r="I44">
        <v>0</v>
      </c>
      <c r="J44">
        <v>10</v>
      </c>
      <c r="K44">
        <v>2</v>
      </c>
      <c r="L44">
        <v>0</v>
      </c>
      <c r="M44">
        <v>3</v>
      </c>
      <c r="N44">
        <v>0</v>
      </c>
      <c r="O44">
        <v>0</v>
      </c>
      <c r="P44">
        <v>0.37</v>
      </c>
      <c r="Q44">
        <v>5</v>
      </c>
      <c r="R44">
        <v>0</v>
      </c>
      <c r="S44">
        <v>11</v>
      </c>
      <c r="T44">
        <v>11</v>
      </c>
      <c r="U44">
        <v>0</v>
      </c>
      <c r="V44">
        <v>0</v>
      </c>
      <c r="W44">
        <v>0</v>
      </c>
      <c r="X44">
        <v>0</v>
      </c>
      <c r="Y44">
        <v>1</v>
      </c>
      <c r="Z44">
        <v>0</v>
      </c>
      <c r="AA44">
        <v>10</v>
      </c>
      <c r="AB44">
        <v>1</v>
      </c>
      <c r="AC44" t="str" cm="1">
        <f t="array" ref="AC44">_xlfn.IFS(excel_project[[#This Row],[Total Messages]]&gt;=600,"Very High",excel_project[[#This Row],[Total Messages]]&gt;=300,"High",excel_project[[#This Row],[Total Messages]]&gt;=100,"Medium",TRUE,"Low")</f>
        <v>Medium</v>
      </c>
    </row>
    <row r="45" spans="1:29">
      <c r="A45" t="s">
        <v>67</v>
      </c>
      <c r="B45">
        <v>44</v>
      </c>
      <c r="C45" t="s">
        <v>29</v>
      </c>
      <c r="D45">
        <v>9</v>
      </c>
      <c r="E45">
        <v>54</v>
      </c>
      <c r="F45">
        <v>32</v>
      </c>
      <c r="G45">
        <v>22</v>
      </c>
      <c r="H45">
        <v>8</v>
      </c>
      <c r="I45">
        <v>2</v>
      </c>
      <c r="J45">
        <v>0</v>
      </c>
      <c r="K45">
        <v>0</v>
      </c>
      <c r="L45">
        <v>0</v>
      </c>
      <c r="M45">
        <v>0</v>
      </c>
      <c r="N45">
        <v>0</v>
      </c>
      <c r="O45">
        <v>0</v>
      </c>
      <c r="P45">
        <v>0</v>
      </c>
      <c r="Q45">
        <v>0</v>
      </c>
      <c r="R45">
        <v>0</v>
      </c>
      <c r="S45">
        <v>0</v>
      </c>
      <c r="T45">
        <v>0</v>
      </c>
      <c r="U45">
        <v>0</v>
      </c>
      <c r="V45">
        <v>0</v>
      </c>
      <c r="W45">
        <v>0</v>
      </c>
      <c r="X45">
        <v>0</v>
      </c>
      <c r="Y45">
        <v>0</v>
      </c>
      <c r="Z45">
        <v>0</v>
      </c>
      <c r="AA45">
        <v>0</v>
      </c>
      <c r="AB45">
        <v>0</v>
      </c>
      <c r="AC45" t="str" cm="1">
        <f t="array" ref="AC45">_xlfn.IFS(excel_project[[#This Row],[Total Messages]]&gt;=600,"Very High",excel_project[[#This Row],[Total Messages]]&gt;=300,"High",excel_project[[#This Row],[Total Messages]]&gt;=100,"Medium",TRUE,"Low")</f>
        <v>Low</v>
      </c>
    </row>
    <row r="46" spans="1:29">
      <c r="A46" t="s">
        <v>68</v>
      </c>
      <c r="B46">
        <v>45</v>
      </c>
      <c r="C46" t="s">
        <v>29</v>
      </c>
      <c r="D46">
        <v>4</v>
      </c>
      <c r="E46">
        <v>4</v>
      </c>
      <c r="F46">
        <v>0</v>
      </c>
      <c r="G46">
        <v>4</v>
      </c>
      <c r="H46">
        <v>0</v>
      </c>
      <c r="I46">
        <v>0</v>
      </c>
      <c r="J46">
        <v>0</v>
      </c>
      <c r="K46">
        <v>0</v>
      </c>
      <c r="L46">
        <v>0</v>
      </c>
      <c r="M46">
        <v>0</v>
      </c>
      <c r="N46">
        <v>0</v>
      </c>
      <c r="O46">
        <v>0</v>
      </c>
      <c r="P46">
        <v>0</v>
      </c>
      <c r="Q46">
        <v>0</v>
      </c>
      <c r="R46">
        <v>0</v>
      </c>
      <c r="S46">
        <v>4</v>
      </c>
      <c r="T46">
        <v>0</v>
      </c>
      <c r="U46">
        <v>0</v>
      </c>
      <c r="V46">
        <v>0</v>
      </c>
      <c r="W46">
        <v>0</v>
      </c>
      <c r="X46">
        <v>0</v>
      </c>
      <c r="Y46">
        <v>0</v>
      </c>
      <c r="Z46">
        <v>0</v>
      </c>
      <c r="AA46">
        <v>0</v>
      </c>
      <c r="AB46">
        <v>4</v>
      </c>
      <c r="AC46" t="str" cm="1">
        <f t="array" ref="AC46">_xlfn.IFS(excel_project[[#This Row],[Total Messages]]&gt;=600,"Very High",excel_project[[#This Row],[Total Messages]]&gt;=300,"High",excel_project[[#This Row],[Total Messages]]&gt;=100,"Medium",TRUE,"Low")</f>
        <v>Low</v>
      </c>
    </row>
    <row r="47" spans="1:29">
      <c r="A47" t="s">
        <v>69</v>
      </c>
      <c r="B47">
        <v>46</v>
      </c>
      <c r="C47" t="s">
        <v>29</v>
      </c>
      <c r="D47">
        <v>14</v>
      </c>
      <c r="E47">
        <v>145</v>
      </c>
      <c r="F47">
        <v>77</v>
      </c>
      <c r="G47">
        <v>68</v>
      </c>
      <c r="H47">
        <v>0</v>
      </c>
      <c r="I47">
        <v>1</v>
      </c>
      <c r="J47">
        <v>2</v>
      </c>
      <c r="K47">
        <v>0</v>
      </c>
      <c r="L47">
        <v>0</v>
      </c>
      <c r="M47">
        <v>0</v>
      </c>
      <c r="N47">
        <v>3</v>
      </c>
      <c r="O47">
        <v>0</v>
      </c>
      <c r="P47">
        <v>0</v>
      </c>
      <c r="Q47">
        <v>0</v>
      </c>
      <c r="R47">
        <v>0</v>
      </c>
      <c r="S47">
        <v>5</v>
      </c>
      <c r="T47">
        <v>4</v>
      </c>
      <c r="U47">
        <v>0</v>
      </c>
      <c r="V47">
        <v>0</v>
      </c>
      <c r="W47">
        <v>1</v>
      </c>
      <c r="X47">
        <v>0</v>
      </c>
      <c r="Y47">
        <v>1</v>
      </c>
      <c r="Z47">
        <v>1</v>
      </c>
      <c r="AA47">
        <v>2</v>
      </c>
      <c r="AB47">
        <v>6</v>
      </c>
      <c r="AC47" t="str" cm="1">
        <f t="array" ref="AC47">_xlfn.IFS(excel_project[[#This Row],[Total Messages]]&gt;=600,"Very High",excel_project[[#This Row],[Total Messages]]&gt;=300,"High",excel_project[[#This Row],[Total Messages]]&gt;=100,"Medium",TRUE,"Low")</f>
        <v>Medium</v>
      </c>
    </row>
    <row r="48" spans="1:29">
      <c r="A48" t="s">
        <v>70</v>
      </c>
      <c r="B48">
        <v>47</v>
      </c>
      <c r="C48" t="s">
        <v>29</v>
      </c>
      <c r="D48">
        <v>5</v>
      </c>
      <c r="E48">
        <v>28</v>
      </c>
      <c r="F48">
        <v>10</v>
      </c>
      <c r="G48">
        <v>18</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t="str" cm="1">
        <f t="array" ref="AC48">_xlfn.IFS(excel_project[[#This Row],[Total Messages]]&gt;=600,"Very High",excel_project[[#This Row],[Total Messages]]&gt;=300,"High",excel_project[[#This Row],[Total Messages]]&gt;=100,"Medium",TRUE,"Low")</f>
        <v>Low</v>
      </c>
    </row>
    <row r="49" spans="1:29">
      <c r="A49" t="s">
        <v>71</v>
      </c>
      <c r="B49">
        <v>48</v>
      </c>
      <c r="C49" t="s">
        <v>62</v>
      </c>
      <c r="D49">
        <v>6</v>
      </c>
      <c r="E49">
        <v>57</v>
      </c>
      <c r="F49">
        <v>27</v>
      </c>
      <c r="G49">
        <v>30</v>
      </c>
      <c r="H49">
        <v>1</v>
      </c>
      <c r="I49">
        <v>0</v>
      </c>
      <c r="J49">
        <v>0</v>
      </c>
      <c r="K49">
        <v>0</v>
      </c>
      <c r="L49">
        <v>0</v>
      </c>
      <c r="M49">
        <v>0</v>
      </c>
      <c r="N49">
        <v>0</v>
      </c>
      <c r="O49">
        <v>0</v>
      </c>
      <c r="P49">
        <v>0</v>
      </c>
      <c r="Q49">
        <v>0</v>
      </c>
      <c r="R49">
        <v>0</v>
      </c>
      <c r="S49">
        <v>1</v>
      </c>
      <c r="T49">
        <v>7</v>
      </c>
      <c r="U49">
        <v>0</v>
      </c>
      <c r="V49">
        <v>0</v>
      </c>
      <c r="W49">
        <v>0</v>
      </c>
      <c r="X49">
        <v>0</v>
      </c>
      <c r="Y49">
        <v>0</v>
      </c>
      <c r="Z49">
        <v>0</v>
      </c>
      <c r="AA49">
        <v>0</v>
      </c>
      <c r="AB49">
        <v>0</v>
      </c>
      <c r="AC49" t="str" cm="1">
        <f t="array" ref="AC49">_xlfn.IFS(excel_project[[#This Row],[Total Messages]]&gt;=600,"Very High",excel_project[[#This Row],[Total Messages]]&gt;=300,"High",excel_project[[#This Row],[Total Messages]]&gt;=100,"Medium",TRUE,"Low")</f>
        <v>Low</v>
      </c>
    </row>
    <row r="50" spans="1:29">
      <c r="A50" t="s">
        <v>72</v>
      </c>
      <c r="B50">
        <v>49</v>
      </c>
      <c r="C50" t="s">
        <v>29</v>
      </c>
      <c r="D50">
        <v>8</v>
      </c>
      <c r="E50">
        <v>39</v>
      </c>
      <c r="F50">
        <v>20</v>
      </c>
      <c r="G50">
        <v>19</v>
      </c>
      <c r="H50">
        <v>1</v>
      </c>
      <c r="I50">
        <v>2</v>
      </c>
      <c r="J50">
        <v>2</v>
      </c>
      <c r="K50">
        <v>4</v>
      </c>
      <c r="L50">
        <v>0</v>
      </c>
      <c r="M50">
        <v>0</v>
      </c>
      <c r="N50">
        <v>2</v>
      </c>
      <c r="O50">
        <v>0</v>
      </c>
      <c r="P50">
        <v>0</v>
      </c>
      <c r="Q50">
        <v>0</v>
      </c>
      <c r="R50">
        <v>0</v>
      </c>
      <c r="S50">
        <v>0</v>
      </c>
      <c r="T50">
        <v>3</v>
      </c>
      <c r="U50">
        <v>0</v>
      </c>
      <c r="V50">
        <v>0</v>
      </c>
      <c r="W50">
        <v>0</v>
      </c>
      <c r="X50">
        <v>1</v>
      </c>
      <c r="Y50">
        <v>0</v>
      </c>
      <c r="Z50">
        <v>0</v>
      </c>
      <c r="AA50">
        <v>1</v>
      </c>
      <c r="AB50">
        <v>0</v>
      </c>
      <c r="AC50" t="str" cm="1">
        <f t="array" ref="AC50">_xlfn.IFS(excel_project[[#This Row],[Total Messages]]&gt;=600,"Very High",excel_project[[#This Row],[Total Messages]]&gt;=300,"High",excel_project[[#This Row],[Total Messages]]&gt;=100,"Medium",TRUE,"Low")</f>
        <v>Low</v>
      </c>
    </row>
    <row r="51" spans="1:29">
      <c r="A51" t="s">
        <v>74</v>
      </c>
      <c r="B51">
        <v>50</v>
      </c>
      <c r="C51" t="s">
        <v>29</v>
      </c>
      <c r="D51">
        <v>2</v>
      </c>
      <c r="E51">
        <v>48</v>
      </c>
      <c r="F51">
        <v>18</v>
      </c>
      <c r="G51">
        <v>30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t="str" cm="1">
        <f t="array" ref="AC51">_xlfn.IFS(excel_project[[#This Row],[Total Messages]]&gt;=600,"Very High",excel_project[[#This Row],[Total Messages]]&gt;=300,"High",excel_project[[#This Row],[Total Messages]]&gt;=100,"Medium",TRUE,"Low")</f>
        <v>Low</v>
      </c>
    </row>
    <row r="52" spans="1:29">
      <c r="A52" t="s">
        <v>75</v>
      </c>
      <c r="B52">
        <v>51</v>
      </c>
      <c r="C52" t="s">
        <v>29</v>
      </c>
      <c r="D52">
        <v>1</v>
      </c>
      <c r="E52">
        <v>4</v>
      </c>
      <c r="F52">
        <v>0</v>
      </c>
      <c r="G52">
        <v>4</v>
      </c>
      <c r="H52">
        <v>0</v>
      </c>
      <c r="I52">
        <v>0</v>
      </c>
      <c r="J52">
        <v>0</v>
      </c>
      <c r="K52">
        <v>0</v>
      </c>
      <c r="L52">
        <v>0</v>
      </c>
      <c r="M52">
        <v>0</v>
      </c>
      <c r="N52">
        <v>0</v>
      </c>
      <c r="O52">
        <v>0</v>
      </c>
      <c r="P52">
        <v>0</v>
      </c>
      <c r="Q52">
        <v>0</v>
      </c>
      <c r="R52">
        <v>0</v>
      </c>
      <c r="S52">
        <v>0</v>
      </c>
      <c r="T52">
        <v>0</v>
      </c>
      <c r="U52">
        <v>0</v>
      </c>
      <c r="V52">
        <v>0</v>
      </c>
      <c r="W52">
        <v>0</v>
      </c>
      <c r="X52">
        <v>0</v>
      </c>
      <c r="Y52">
        <v>0</v>
      </c>
      <c r="Z52">
        <v>0</v>
      </c>
      <c r="AA52">
        <v>0</v>
      </c>
      <c r="AB52">
        <v>4</v>
      </c>
      <c r="AC52" t="str" cm="1">
        <f t="array" ref="AC52">_xlfn.IFS(excel_project[[#This Row],[Total Messages]]&gt;=600,"Very High",excel_project[[#This Row],[Total Messages]]&gt;=300,"High",excel_project[[#This Row],[Total Messages]]&gt;=100,"Medium",TRUE,"Low")</f>
        <v>Low</v>
      </c>
    </row>
    <row r="53" spans="1:29">
      <c r="A53" t="s">
        <v>76</v>
      </c>
      <c r="B53">
        <v>52</v>
      </c>
      <c r="C53" t="s">
        <v>29</v>
      </c>
      <c r="D53">
        <v>19</v>
      </c>
      <c r="E53">
        <v>1036</v>
      </c>
      <c r="F53">
        <v>532</v>
      </c>
      <c r="G53">
        <v>504</v>
      </c>
      <c r="H53">
        <v>34</v>
      </c>
      <c r="I53">
        <v>28</v>
      </c>
      <c r="J53">
        <v>27</v>
      </c>
      <c r="K53">
        <v>15</v>
      </c>
      <c r="L53">
        <v>0</v>
      </c>
      <c r="M53">
        <v>0</v>
      </c>
      <c r="N53">
        <v>0</v>
      </c>
      <c r="O53">
        <v>0</v>
      </c>
      <c r="P53">
        <v>0</v>
      </c>
      <c r="Q53">
        <v>4</v>
      </c>
      <c r="R53">
        <v>3</v>
      </c>
      <c r="S53">
        <v>9</v>
      </c>
      <c r="T53">
        <v>5</v>
      </c>
      <c r="U53">
        <v>0</v>
      </c>
      <c r="V53">
        <v>0</v>
      </c>
      <c r="W53">
        <v>0</v>
      </c>
      <c r="X53">
        <v>0</v>
      </c>
      <c r="Y53">
        <v>2</v>
      </c>
      <c r="Z53">
        <v>7</v>
      </c>
      <c r="AA53">
        <v>3</v>
      </c>
      <c r="AB53">
        <v>9</v>
      </c>
      <c r="AC53" t="str" cm="1">
        <f t="array" ref="AC53">_xlfn.IFS(excel_project[[#This Row],[Total Messages]]&gt;=600,"Very High",excel_project[[#This Row],[Total Messages]]&gt;=300,"High",excel_project[[#This Row],[Total Messages]]&gt;=100,"Medium",TRUE,"Low")</f>
        <v>Very High</v>
      </c>
    </row>
    <row r="54" spans="1:29">
      <c r="A54" t="s">
        <v>77</v>
      </c>
      <c r="B54">
        <v>53</v>
      </c>
      <c r="C54" t="s">
        <v>29</v>
      </c>
      <c r="D54">
        <v>1</v>
      </c>
      <c r="E54">
        <v>4</v>
      </c>
      <c r="F54">
        <v>0</v>
      </c>
      <c r="G54">
        <v>4</v>
      </c>
      <c r="H54">
        <v>0</v>
      </c>
      <c r="I54">
        <v>0</v>
      </c>
      <c r="J54">
        <v>0</v>
      </c>
      <c r="K54">
        <v>0</v>
      </c>
      <c r="L54">
        <v>0</v>
      </c>
      <c r="M54">
        <v>0</v>
      </c>
      <c r="N54">
        <v>0</v>
      </c>
      <c r="O54">
        <v>0</v>
      </c>
      <c r="P54">
        <v>0</v>
      </c>
      <c r="Q54">
        <v>0</v>
      </c>
      <c r="R54">
        <v>0</v>
      </c>
      <c r="S54">
        <v>0</v>
      </c>
      <c r="T54">
        <v>0</v>
      </c>
      <c r="U54">
        <v>0</v>
      </c>
      <c r="V54">
        <v>0</v>
      </c>
      <c r="W54">
        <v>0</v>
      </c>
      <c r="X54">
        <v>0</v>
      </c>
      <c r="Y54">
        <v>0</v>
      </c>
      <c r="Z54">
        <v>0</v>
      </c>
      <c r="AA54">
        <v>0</v>
      </c>
      <c r="AB54">
        <v>4</v>
      </c>
      <c r="AC54" t="str" cm="1">
        <f t="array" ref="AC54">_xlfn.IFS(excel_project[[#This Row],[Total Messages]]&gt;=600,"Very High",excel_project[[#This Row],[Total Messages]]&gt;=300,"High",excel_project[[#This Row],[Total Messages]]&gt;=100,"Medium",TRUE,"Low")</f>
        <v>Low</v>
      </c>
    </row>
    <row r="55" spans="1:29">
      <c r="A55" t="s">
        <v>78</v>
      </c>
      <c r="B55">
        <v>54</v>
      </c>
      <c r="C55" t="s">
        <v>29</v>
      </c>
      <c r="D55">
        <v>6</v>
      </c>
      <c r="E55">
        <v>31</v>
      </c>
      <c r="F55">
        <v>18</v>
      </c>
      <c r="G55">
        <v>13</v>
      </c>
      <c r="H55">
        <v>0</v>
      </c>
      <c r="I55">
        <v>1</v>
      </c>
      <c r="J55">
        <v>0</v>
      </c>
      <c r="K55">
        <v>0</v>
      </c>
      <c r="L55">
        <v>0</v>
      </c>
      <c r="M55">
        <v>0</v>
      </c>
      <c r="N55">
        <v>0</v>
      </c>
      <c r="O55">
        <v>0</v>
      </c>
      <c r="P55">
        <v>0</v>
      </c>
      <c r="Q55">
        <v>0</v>
      </c>
      <c r="R55">
        <v>0</v>
      </c>
      <c r="S55">
        <v>1</v>
      </c>
      <c r="T55">
        <v>0</v>
      </c>
      <c r="U55">
        <v>0</v>
      </c>
      <c r="V55">
        <v>0</v>
      </c>
      <c r="W55">
        <v>0</v>
      </c>
      <c r="X55">
        <v>0</v>
      </c>
      <c r="Y55">
        <v>0</v>
      </c>
      <c r="Z55">
        <v>0</v>
      </c>
      <c r="AA55">
        <v>0</v>
      </c>
      <c r="AB55">
        <v>0</v>
      </c>
      <c r="AC55" t="str" cm="1">
        <f t="array" ref="AC55">_xlfn.IFS(excel_project[[#This Row],[Total Messages]]&gt;=600,"Very High",excel_project[[#This Row],[Total Messages]]&gt;=300,"High",excel_project[[#This Row],[Total Messages]]&gt;=100,"Medium",TRUE,"Low")</f>
        <v>Low</v>
      </c>
    </row>
    <row r="56" spans="1:29">
      <c r="A56" t="s">
        <v>79</v>
      </c>
      <c r="B56">
        <v>55</v>
      </c>
      <c r="C56" t="s">
        <v>29</v>
      </c>
      <c r="D56">
        <v>4</v>
      </c>
      <c r="E56">
        <v>14</v>
      </c>
      <c r="F56">
        <v>9</v>
      </c>
      <c r="G56">
        <v>5</v>
      </c>
      <c r="H56">
        <v>0</v>
      </c>
      <c r="I56">
        <v>0</v>
      </c>
      <c r="J56">
        <v>0</v>
      </c>
      <c r="K56">
        <v>0</v>
      </c>
      <c r="L56">
        <v>2</v>
      </c>
      <c r="M56">
        <v>0</v>
      </c>
      <c r="N56">
        <v>3</v>
      </c>
      <c r="O56">
        <v>1</v>
      </c>
      <c r="P56">
        <v>2</v>
      </c>
      <c r="Q56">
        <v>0</v>
      </c>
      <c r="R56">
        <v>0</v>
      </c>
      <c r="S56">
        <v>0</v>
      </c>
      <c r="T56">
        <v>0</v>
      </c>
      <c r="U56">
        <v>0</v>
      </c>
      <c r="V56">
        <v>0</v>
      </c>
      <c r="W56">
        <v>0</v>
      </c>
      <c r="X56">
        <v>0</v>
      </c>
      <c r="Y56">
        <v>2</v>
      </c>
      <c r="Z56">
        <v>0</v>
      </c>
      <c r="AA56">
        <v>4</v>
      </c>
      <c r="AB56">
        <v>0</v>
      </c>
      <c r="AC56" t="str" cm="1">
        <f t="array" ref="AC56">_xlfn.IFS(excel_project[[#This Row],[Total Messages]]&gt;=600,"Very High",excel_project[[#This Row],[Total Messages]]&gt;=300,"High",excel_project[[#This Row],[Total Messages]]&gt;=100,"Medium",TRUE,"Low")</f>
        <v>Low</v>
      </c>
    </row>
    <row r="57" spans="1:29">
      <c r="A57" t="s">
        <v>80</v>
      </c>
      <c r="B57">
        <v>56</v>
      </c>
      <c r="C57" t="s">
        <v>29</v>
      </c>
      <c r="D57">
        <v>12</v>
      </c>
      <c r="E57">
        <v>177</v>
      </c>
      <c r="F57">
        <v>81</v>
      </c>
      <c r="G57">
        <v>96</v>
      </c>
      <c r="H57">
        <v>5</v>
      </c>
      <c r="I57">
        <v>3</v>
      </c>
      <c r="J57">
        <v>8</v>
      </c>
      <c r="K57">
        <v>6</v>
      </c>
      <c r="L57">
        <v>0</v>
      </c>
      <c r="M57">
        <v>0</v>
      </c>
      <c r="N57">
        <v>0</v>
      </c>
      <c r="O57">
        <v>0</v>
      </c>
      <c r="P57">
        <v>0</v>
      </c>
      <c r="Q57">
        <v>2</v>
      </c>
      <c r="R57">
        <v>0</v>
      </c>
      <c r="S57">
        <v>0</v>
      </c>
      <c r="T57">
        <v>3</v>
      </c>
      <c r="U57">
        <v>0</v>
      </c>
      <c r="V57">
        <v>0</v>
      </c>
      <c r="W57">
        <v>0</v>
      </c>
      <c r="X57">
        <v>0</v>
      </c>
      <c r="Y57">
        <v>1</v>
      </c>
      <c r="Z57">
        <v>1</v>
      </c>
      <c r="AA57">
        <v>2</v>
      </c>
      <c r="AB57">
        <v>2</v>
      </c>
      <c r="AC57" t="str" cm="1">
        <f t="array" ref="AC57">_xlfn.IFS(excel_project[[#This Row],[Total Messages]]&gt;=600,"Very High",excel_project[[#This Row],[Total Messages]]&gt;=300,"High",excel_project[[#This Row],[Total Messages]]&gt;=100,"Medium",TRUE,"Low")</f>
        <v>Medium</v>
      </c>
    </row>
    <row r="58" spans="1:29">
      <c r="A58" t="s">
        <v>81</v>
      </c>
      <c r="B58">
        <v>57</v>
      </c>
      <c r="C58" t="s">
        <v>29</v>
      </c>
      <c r="D58">
        <v>2</v>
      </c>
      <c r="E58">
        <v>6</v>
      </c>
      <c r="F58">
        <v>6</v>
      </c>
      <c r="G58">
        <v>0</v>
      </c>
      <c r="H58">
        <v>6</v>
      </c>
      <c r="I58">
        <v>0</v>
      </c>
      <c r="J58">
        <v>0</v>
      </c>
      <c r="K58">
        <v>0</v>
      </c>
      <c r="L58">
        <v>0</v>
      </c>
      <c r="M58">
        <v>0</v>
      </c>
      <c r="N58">
        <v>0</v>
      </c>
      <c r="O58">
        <v>0</v>
      </c>
      <c r="P58">
        <v>0</v>
      </c>
      <c r="Q58">
        <v>0</v>
      </c>
      <c r="R58">
        <v>0</v>
      </c>
      <c r="S58">
        <v>0</v>
      </c>
      <c r="T58">
        <v>0</v>
      </c>
      <c r="U58">
        <v>0</v>
      </c>
      <c r="V58">
        <v>0</v>
      </c>
      <c r="W58">
        <v>0</v>
      </c>
      <c r="X58">
        <v>0</v>
      </c>
      <c r="Y58">
        <v>0</v>
      </c>
      <c r="Z58">
        <v>0</v>
      </c>
      <c r="AA58">
        <v>0</v>
      </c>
      <c r="AB58">
        <v>0</v>
      </c>
      <c r="AC58" t="str" cm="1">
        <f t="array" ref="AC58">_xlfn.IFS(excel_project[[#This Row],[Total Messages]]&gt;=600,"Very High",excel_project[[#This Row],[Total Messages]]&gt;=300,"High",excel_project[[#This Row],[Total Messages]]&gt;=100,"Medium",TRUE,"Low")</f>
        <v>Low</v>
      </c>
    </row>
    <row r="59" spans="1:29">
      <c r="A59" t="s">
        <v>82</v>
      </c>
      <c r="B59">
        <v>58</v>
      </c>
      <c r="C59" t="s">
        <v>62</v>
      </c>
      <c r="D59">
        <v>1</v>
      </c>
      <c r="E59">
        <v>10</v>
      </c>
      <c r="F59">
        <v>6</v>
      </c>
      <c r="G59">
        <v>4</v>
      </c>
      <c r="H59">
        <v>1</v>
      </c>
      <c r="I59">
        <v>0</v>
      </c>
      <c r="J59">
        <v>0</v>
      </c>
      <c r="K59">
        <v>0</v>
      </c>
      <c r="L59">
        <v>0</v>
      </c>
      <c r="M59">
        <v>0</v>
      </c>
      <c r="N59">
        <v>0</v>
      </c>
      <c r="O59">
        <v>0</v>
      </c>
      <c r="P59">
        <v>0</v>
      </c>
      <c r="Q59">
        <v>0</v>
      </c>
      <c r="R59">
        <v>0</v>
      </c>
      <c r="S59">
        <v>0</v>
      </c>
      <c r="T59">
        <v>0</v>
      </c>
      <c r="U59">
        <v>0</v>
      </c>
      <c r="V59">
        <v>0</v>
      </c>
      <c r="W59">
        <v>0</v>
      </c>
      <c r="X59">
        <v>0</v>
      </c>
      <c r="Y59">
        <v>0</v>
      </c>
      <c r="Z59">
        <v>0</v>
      </c>
      <c r="AA59">
        <v>0</v>
      </c>
      <c r="AB59">
        <v>0</v>
      </c>
      <c r="AC59" t="str" cm="1">
        <f t="array" ref="AC59">_xlfn.IFS(excel_project[[#This Row],[Total Messages]]&gt;=600,"Very High",excel_project[[#This Row],[Total Messages]]&gt;=300,"High",excel_project[[#This Row],[Total Messages]]&gt;=100,"Medium",TRUE,"Low")</f>
        <v>Low</v>
      </c>
    </row>
    <row r="60" spans="1:29">
      <c r="A60" t="s">
        <v>83</v>
      </c>
      <c r="B60">
        <v>59</v>
      </c>
      <c r="C60" t="s">
        <v>62</v>
      </c>
      <c r="D60">
        <v>11</v>
      </c>
      <c r="E60">
        <v>69</v>
      </c>
      <c r="F60">
        <v>28</v>
      </c>
      <c r="G60">
        <v>41</v>
      </c>
      <c r="H60">
        <v>0</v>
      </c>
      <c r="I60">
        <v>0</v>
      </c>
      <c r="J60">
        <v>3</v>
      </c>
      <c r="K60">
        <v>2</v>
      </c>
      <c r="L60">
        <v>0</v>
      </c>
      <c r="M60">
        <v>2</v>
      </c>
      <c r="N60">
        <v>4</v>
      </c>
      <c r="O60">
        <v>0</v>
      </c>
      <c r="P60">
        <v>16</v>
      </c>
      <c r="Q60">
        <v>0</v>
      </c>
      <c r="R60">
        <v>0</v>
      </c>
      <c r="S60">
        <v>1</v>
      </c>
      <c r="T60">
        <v>0</v>
      </c>
      <c r="U60">
        <v>0</v>
      </c>
      <c r="V60">
        <v>0</v>
      </c>
      <c r="W60">
        <v>0</v>
      </c>
      <c r="X60">
        <v>0</v>
      </c>
      <c r="Y60">
        <v>1</v>
      </c>
      <c r="Z60">
        <v>2</v>
      </c>
      <c r="AA60">
        <v>0</v>
      </c>
      <c r="AB60">
        <v>2</v>
      </c>
      <c r="AC60" t="str" cm="1">
        <f t="array" ref="AC60">_xlfn.IFS(excel_project[[#This Row],[Total Messages]]&gt;=600,"Very High",excel_project[[#This Row],[Total Messages]]&gt;=300,"High",excel_project[[#This Row],[Total Messages]]&gt;=100,"Medium",TRUE,"Low")</f>
        <v>Low</v>
      </c>
    </row>
    <row r="61" spans="1:29">
      <c r="A61" t="s">
        <v>85</v>
      </c>
      <c r="B61">
        <v>60</v>
      </c>
      <c r="C61" t="s">
        <v>29</v>
      </c>
      <c r="D61">
        <v>1</v>
      </c>
      <c r="E61">
        <v>8</v>
      </c>
      <c r="F61">
        <v>4</v>
      </c>
      <c r="G61">
        <v>4</v>
      </c>
      <c r="H61">
        <v>0</v>
      </c>
      <c r="I61">
        <v>0</v>
      </c>
      <c r="J61">
        <v>0</v>
      </c>
      <c r="K61">
        <v>0</v>
      </c>
      <c r="L61">
        <v>0</v>
      </c>
      <c r="M61">
        <v>0</v>
      </c>
      <c r="N61">
        <v>0</v>
      </c>
      <c r="O61">
        <v>0</v>
      </c>
      <c r="P61">
        <v>0</v>
      </c>
      <c r="Q61">
        <v>0</v>
      </c>
      <c r="R61">
        <v>1</v>
      </c>
      <c r="S61">
        <v>0</v>
      </c>
      <c r="T61">
        <v>0</v>
      </c>
      <c r="U61">
        <v>0</v>
      </c>
      <c r="V61">
        <v>1</v>
      </c>
      <c r="W61">
        <v>1</v>
      </c>
      <c r="X61">
        <v>0</v>
      </c>
      <c r="Y61">
        <v>0</v>
      </c>
      <c r="Z61">
        <v>0</v>
      </c>
      <c r="AA61">
        <v>0</v>
      </c>
      <c r="AB61">
        <v>0</v>
      </c>
      <c r="AC61" t="str" cm="1">
        <f t="array" ref="AC61">_xlfn.IFS(excel_project[[#This Row],[Total Messages]]&gt;=600,"Very High",excel_project[[#This Row],[Total Messages]]&gt;=300,"High",excel_project[[#This Row],[Total Messages]]&gt;=100,"Medium",TRUE,"Low")</f>
        <v>Low</v>
      </c>
    </row>
    <row r="62" spans="1:29">
      <c r="A62" t="s">
        <v>86</v>
      </c>
      <c r="B62">
        <v>61</v>
      </c>
      <c r="C62" t="s">
        <v>29</v>
      </c>
      <c r="D62">
        <v>8</v>
      </c>
      <c r="E62">
        <v>37</v>
      </c>
      <c r="F62">
        <v>15</v>
      </c>
      <c r="G62">
        <v>22</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t="str" cm="1">
        <f t="array" ref="AC62">_xlfn.IFS(excel_project[[#This Row],[Total Messages]]&gt;=600,"Very High",excel_project[[#This Row],[Total Messages]]&gt;=300,"High",excel_project[[#This Row],[Total Messages]]&gt;=100,"Medium",TRUE,"Low")</f>
        <v>Low</v>
      </c>
    </row>
    <row r="63" spans="1:29">
      <c r="A63" t="s">
        <v>87</v>
      </c>
      <c r="B63">
        <v>62</v>
      </c>
      <c r="C63" t="s">
        <v>29</v>
      </c>
      <c r="D63">
        <v>2</v>
      </c>
      <c r="E63">
        <v>5</v>
      </c>
      <c r="F63">
        <v>2</v>
      </c>
      <c r="G63">
        <v>3</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t="str" cm="1">
        <f t="array" ref="AC63">_xlfn.IFS(excel_project[[#This Row],[Total Messages]]&gt;=600,"Very High",excel_project[[#This Row],[Total Messages]]&gt;=300,"High",excel_project[[#This Row],[Total Messages]]&gt;=100,"Medium",TRUE,"Low")</f>
        <v>Low</v>
      </c>
    </row>
    <row r="64" spans="1:29">
      <c r="A64" t="s">
        <v>88</v>
      </c>
      <c r="B64">
        <v>63</v>
      </c>
      <c r="C64" t="s">
        <v>29</v>
      </c>
      <c r="D64">
        <v>5</v>
      </c>
      <c r="E64">
        <v>26</v>
      </c>
      <c r="F64">
        <v>14</v>
      </c>
      <c r="G64">
        <v>12</v>
      </c>
      <c r="H64">
        <v>0</v>
      </c>
      <c r="I64">
        <v>0</v>
      </c>
      <c r="J64">
        <v>0</v>
      </c>
      <c r="K64">
        <v>0</v>
      </c>
      <c r="L64">
        <v>0</v>
      </c>
      <c r="M64">
        <v>0</v>
      </c>
      <c r="N64">
        <v>0</v>
      </c>
      <c r="O64">
        <v>0</v>
      </c>
      <c r="P64">
        <v>0</v>
      </c>
      <c r="Q64">
        <v>0</v>
      </c>
      <c r="R64">
        <v>0</v>
      </c>
      <c r="S64">
        <v>0</v>
      </c>
      <c r="T64">
        <v>2</v>
      </c>
      <c r="U64">
        <v>0</v>
      </c>
      <c r="V64">
        <v>0</v>
      </c>
      <c r="W64">
        <v>0</v>
      </c>
      <c r="X64">
        <v>0</v>
      </c>
      <c r="Y64">
        <v>0</v>
      </c>
      <c r="Z64">
        <v>0</v>
      </c>
      <c r="AA64">
        <v>0</v>
      </c>
      <c r="AB64">
        <v>5</v>
      </c>
      <c r="AC64" t="str" cm="1">
        <f t="array" ref="AC64">_xlfn.IFS(excel_project[[#This Row],[Total Messages]]&gt;=600,"Very High",excel_project[[#This Row],[Total Messages]]&gt;=300,"High",excel_project[[#This Row],[Total Messages]]&gt;=100,"Medium",TRUE,"Low")</f>
        <v>Low</v>
      </c>
    </row>
    <row r="65" spans="1:29">
      <c r="A65" t="s">
        <v>89</v>
      </c>
      <c r="B65">
        <v>64</v>
      </c>
      <c r="C65" t="s">
        <v>29</v>
      </c>
      <c r="D65">
        <v>2</v>
      </c>
      <c r="E65">
        <v>5</v>
      </c>
      <c r="F65">
        <v>5</v>
      </c>
      <c r="G65">
        <v>0</v>
      </c>
      <c r="H65">
        <v>0</v>
      </c>
      <c r="I65">
        <v>0</v>
      </c>
      <c r="J65">
        <v>0</v>
      </c>
      <c r="K65">
        <v>0</v>
      </c>
      <c r="L65">
        <v>3</v>
      </c>
      <c r="M65">
        <v>1</v>
      </c>
      <c r="N65">
        <v>0</v>
      </c>
      <c r="O65">
        <v>0</v>
      </c>
      <c r="P65">
        <v>2</v>
      </c>
      <c r="Q65">
        <v>0</v>
      </c>
      <c r="R65">
        <v>0</v>
      </c>
      <c r="S65">
        <v>0</v>
      </c>
      <c r="T65">
        <v>0</v>
      </c>
      <c r="U65">
        <v>0</v>
      </c>
      <c r="V65">
        <v>0</v>
      </c>
      <c r="W65">
        <v>0</v>
      </c>
      <c r="X65">
        <v>0</v>
      </c>
      <c r="Y65">
        <v>0</v>
      </c>
      <c r="Z65">
        <v>0</v>
      </c>
      <c r="AA65">
        <v>0</v>
      </c>
      <c r="AB65">
        <v>0</v>
      </c>
      <c r="AC65" t="str" cm="1">
        <f t="array" ref="AC65">_xlfn.IFS(excel_project[[#This Row],[Total Messages]]&gt;=600,"Very High",excel_project[[#This Row],[Total Messages]]&gt;=300,"High",excel_project[[#This Row],[Total Messages]]&gt;=100,"Medium",TRUE,"Low")</f>
        <v>Low</v>
      </c>
    </row>
    <row r="66" spans="1:29">
      <c r="A66" t="s">
        <v>90</v>
      </c>
      <c r="B66">
        <v>65</v>
      </c>
      <c r="C66" t="s">
        <v>29</v>
      </c>
      <c r="D66">
        <v>1</v>
      </c>
      <c r="E66">
        <v>1</v>
      </c>
      <c r="F66">
        <v>1</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t="str" cm="1">
        <f t="array" ref="AC66">_xlfn.IFS(excel_project[[#This Row],[Total Messages]]&gt;=600,"Very High",excel_project[[#This Row],[Total Messages]]&gt;=300,"High",excel_project[[#This Row],[Total Messages]]&gt;=100,"Medium",TRUE,"Low")</f>
        <v>Low</v>
      </c>
    </row>
    <row r="67" spans="1:29">
      <c r="A67" t="s">
        <v>91</v>
      </c>
      <c r="B67">
        <v>66</v>
      </c>
      <c r="C67" t="s">
        <v>29</v>
      </c>
      <c r="D67">
        <v>3</v>
      </c>
      <c r="E67">
        <v>17</v>
      </c>
      <c r="F67">
        <v>10</v>
      </c>
      <c r="G67">
        <v>7</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t="str" cm="1">
        <f t="array" ref="AC67">_xlfn.IFS(excel_project[[#This Row],[Total Messages]]&gt;=600,"Very High",excel_project[[#This Row],[Total Messages]]&gt;=300,"High",excel_project[[#This Row],[Total Messages]]&gt;=100,"Medium",TRUE,"Low")</f>
        <v>Low</v>
      </c>
    </row>
    <row r="68" spans="1:29">
      <c r="A68" t="s">
        <v>92</v>
      </c>
      <c r="B68">
        <v>67</v>
      </c>
      <c r="C68" t="s">
        <v>29</v>
      </c>
      <c r="D68">
        <v>6</v>
      </c>
      <c r="E68">
        <v>17</v>
      </c>
      <c r="F68">
        <v>11</v>
      </c>
      <c r="G68">
        <v>6</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t="str" cm="1">
        <f t="array" ref="AC68">_xlfn.IFS(excel_project[[#This Row],[Total Messages]]&gt;=600,"Very High",excel_project[[#This Row],[Total Messages]]&gt;=300,"High",excel_project[[#This Row],[Total Messages]]&gt;=100,"Medium",TRUE,"Low")</f>
        <v>Low</v>
      </c>
    </row>
    <row r="69" spans="1:29">
      <c r="A69" t="s">
        <v>93</v>
      </c>
      <c r="B69">
        <v>68</v>
      </c>
      <c r="C69" t="s">
        <v>29</v>
      </c>
      <c r="D69">
        <v>6</v>
      </c>
      <c r="E69">
        <v>45</v>
      </c>
      <c r="F69">
        <v>31</v>
      </c>
      <c r="G69">
        <v>14</v>
      </c>
      <c r="H69">
        <v>1</v>
      </c>
      <c r="I69">
        <v>0</v>
      </c>
      <c r="J69">
        <v>0</v>
      </c>
      <c r="K69">
        <v>0</v>
      </c>
      <c r="L69">
        <v>0</v>
      </c>
      <c r="M69">
        <v>0</v>
      </c>
      <c r="N69">
        <v>0</v>
      </c>
      <c r="O69">
        <v>0</v>
      </c>
      <c r="P69">
        <v>0</v>
      </c>
      <c r="Q69">
        <v>7</v>
      </c>
      <c r="R69">
        <v>0</v>
      </c>
      <c r="S69">
        <v>2</v>
      </c>
      <c r="T69">
        <v>0</v>
      </c>
      <c r="U69">
        <v>0</v>
      </c>
      <c r="V69">
        <v>0</v>
      </c>
      <c r="W69">
        <v>0</v>
      </c>
      <c r="X69">
        <v>1</v>
      </c>
      <c r="Y69">
        <v>0</v>
      </c>
      <c r="Z69">
        <v>0</v>
      </c>
      <c r="AA69">
        <v>1</v>
      </c>
      <c r="AB69">
        <v>0</v>
      </c>
      <c r="AC69" t="str" cm="1">
        <f t="array" ref="AC69">_xlfn.IFS(excel_project[[#This Row],[Total Messages]]&gt;=600,"Very High",excel_project[[#This Row],[Total Messages]]&gt;=300,"High",excel_project[[#This Row],[Total Messages]]&gt;=100,"Medium",TRUE,"Low")</f>
        <v>Low</v>
      </c>
    </row>
    <row r="70" spans="1:29">
      <c r="A70" t="s">
        <v>94</v>
      </c>
      <c r="B70">
        <v>69</v>
      </c>
      <c r="C70" t="s">
        <v>29</v>
      </c>
      <c r="D70">
        <v>1</v>
      </c>
      <c r="E70">
        <v>1</v>
      </c>
      <c r="F70">
        <v>1</v>
      </c>
      <c r="G70">
        <v>0</v>
      </c>
      <c r="H70">
        <v>0</v>
      </c>
      <c r="I70">
        <v>0</v>
      </c>
      <c r="J70">
        <v>0</v>
      </c>
      <c r="K70">
        <v>0</v>
      </c>
      <c r="L70">
        <v>0</v>
      </c>
      <c r="M70">
        <v>0</v>
      </c>
      <c r="N70">
        <v>0</v>
      </c>
      <c r="O70">
        <v>0</v>
      </c>
      <c r="P70">
        <v>0</v>
      </c>
      <c r="Q70">
        <v>0</v>
      </c>
      <c r="R70">
        <v>0</v>
      </c>
      <c r="S70">
        <v>0</v>
      </c>
      <c r="T70">
        <v>0</v>
      </c>
      <c r="U70">
        <v>0</v>
      </c>
      <c r="V70">
        <v>0</v>
      </c>
      <c r="W70">
        <v>0</v>
      </c>
      <c r="X70">
        <v>0</v>
      </c>
      <c r="Y70">
        <v>1</v>
      </c>
      <c r="Z70">
        <v>0</v>
      </c>
      <c r="AA70">
        <v>0</v>
      </c>
      <c r="AB70">
        <v>0</v>
      </c>
      <c r="AC70" t="str" cm="1">
        <f t="array" ref="AC70">_xlfn.IFS(excel_project[[#This Row],[Total Messages]]&gt;=600,"Very High",excel_project[[#This Row],[Total Messages]]&gt;=300,"High",excel_project[[#This Row],[Total Messages]]&gt;=100,"Medium",TRUE,"Low")</f>
        <v>Low</v>
      </c>
    </row>
    <row r="71" spans="1:29">
      <c r="A71" t="s">
        <v>96</v>
      </c>
      <c r="B71">
        <v>70</v>
      </c>
      <c r="C71" t="s">
        <v>29</v>
      </c>
      <c r="D71">
        <v>1</v>
      </c>
      <c r="E71">
        <v>2</v>
      </c>
      <c r="F71">
        <v>1</v>
      </c>
      <c r="G71">
        <v>1</v>
      </c>
      <c r="H71">
        <v>0</v>
      </c>
      <c r="I71">
        <v>0</v>
      </c>
      <c r="J71">
        <v>0</v>
      </c>
      <c r="K71">
        <v>0</v>
      </c>
      <c r="L71">
        <v>0</v>
      </c>
      <c r="M71">
        <v>0</v>
      </c>
      <c r="N71">
        <v>0</v>
      </c>
      <c r="O71">
        <v>0</v>
      </c>
      <c r="P71">
        <v>0</v>
      </c>
      <c r="Q71">
        <v>0</v>
      </c>
      <c r="R71">
        <v>0</v>
      </c>
      <c r="S71">
        <v>0</v>
      </c>
      <c r="T71">
        <v>1</v>
      </c>
      <c r="U71">
        <v>0</v>
      </c>
      <c r="V71">
        <v>0</v>
      </c>
      <c r="W71">
        <v>0</v>
      </c>
      <c r="X71">
        <v>0</v>
      </c>
      <c r="Y71">
        <v>0</v>
      </c>
      <c r="Z71">
        <v>0</v>
      </c>
      <c r="AA71">
        <v>0</v>
      </c>
      <c r="AB71">
        <v>0</v>
      </c>
      <c r="AC71" t="str" cm="1">
        <f t="array" ref="AC71">_xlfn.IFS(excel_project[[#This Row],[Total Messages]]&gt;=600,"Very High",excel_project[[#This Row],[Total Messages]]&gt;=300,"High",excel_project[[#This Row],[Total Messages]]&gt;=100,"Medium",TRUE,"Low")</f>
        <v>Low</v>
      </c>
    </row>
    <row r="72" spans="1:29">
      <c r="A72" t="s">
        <v>97</v>
      </c>
      <c r="B72">
        <v>71</v>
      </c>
      <c r="C72" t="s">
        <v>62</v>
      </c>
      <c r="D72">
        <v>4</v>
      </c>
      <c r="E72">
        <v>12</v>
      </c>
      <c r="F72">
        <v>5</v>
      </c>
      <c r="G72">
        <v>7</v>
      </c>
      <c r="H72">
        <v>0</v>
      </c>
      <c r="I72">
        <v>0</v>
      </c>
      <c r="J72">
        <v>3</v>
      </c>
      <c r="K72">
        <v>3</v>
      </c>
      <c r="L72">
        <v>1</v>
      </c>
      <c r="M72">
        <v>0</v>
      </c>
      <c r="N72">
        <v>1</v>
      </c>
      <c r="O72">
        <v>1</v>
      </c>
      <c r="P72">
        <v>0.4</v>
      </c>
      <c r="Q72">
        <v>0</v>
      </c>
      <c r="R72">
        <v>0</v>
      </c>
      <c r="S72">
        <v>0</v>
      </c>
      <c r="T72">
        <v>0</v>
      </c>
      <c r="U72">
        <v>0</v>
      </c>
      <c r="V72">
        <v>0</v>
      </c>
      <c r="W72">
        <v>0</v>
      </c>
      <c r="X72">
        <v>0</v>
      </c>
      <c r="Y72">
        <v>0</v>
      </c>
      <c r="Z72">
        <v>0</v>
      </c>
      <c r="AA72">
        <v>0</v>
      </c>
      <c r="AB72">
        <v>1</v>
      </c>
      <c r="AC72" t="str" cm="1">
        <f t="array" ref="AC72">_xlfn.IFS(excel_project[[#This Row],[Total Messages]]&gt;=600,"Very High",excel_project[[#This Row],[Total Messages]]&gt;=300,"High",excel_project[[#This Row],[Total Messages]]&gt;=100,"Medium",TRUE,"Low")</f>
        <v>Low</v>
      </c>
    </row>
    <row r="73" spans="1:29">
      <c r="A73" t="s">
        <v>98</v>
      </c>
      <c r="B73">
        <v>72</v>
      </c>
      <c r="C73" t="s">
        <v>62</v>
      </c>
      <c r="D73">
        <v>2</v>
      </c>
      <c r="E73">
        <v>6</v>
      </c>
      <c r="F73">
        <v>4</v>
      </c>
      <c r="G73">
        <v>2</v>
      </c>
      <c r="H73">
        <v>0</v>
      </c>
      <c r="I73">
        <v>0</v>
      </c>
      <c r="J73">
        <v>1</v>
      </c>
      <c r="K73">
        <v>2</v>
      </c>
      <c r="L73">
        <v>1</v>
      </c>
      <c r="M73">
        <v>0</v>
      </c>
      <c r="N73">
        <v>0</v>
      </c>
      <c r="O73">
        <v>0</v>
      </c>
      <c r="P73">
        <v>0</v>
      </c>
      <c r="Q73">
        <v>0</v>
      </c>
      <c r="R73">
        <v>0</v>
      </c>
      <c r="S73">
        <v>0</v>
      </c>
      <c r="T73">
        <v>0</v>
      </c>
      <c r="U73">
        <v>0</v>
      </c>
      <c r="V73">
        <v>0</v>
      </c>
      <c r="W73">
        <v>0</v>
      </c>
      <c r="X73">
        <v>0</v>
      </c>
      <c r="Y73">
        <v>0</v>
      </c>
      <c r="Z73">
        <v>0</v>
      </c>
      <c r="AA73">
        <v>0</v>
      </c>
      <c r="AB73">
        <v>0</v>
      </c>
      <c r="AC73" t="str" cm="1">
        <f t="array" ref="AC73">_xlfn.IFS(excel_project[[#This Row],[Total Messages]]&gt;=600,"Very High",excel_project[[#This Row],[Total Messages]]&gt;=300,"High",excel_project[[#This Row],[Total Messages]]&gt;=100,"Medium",TRUE,"Low")</f>
        <v>Low</v>
      </c>
    </row>
    <row r="74" spans="1:29">
      <c r="A74" t="s">
        <v>99</v>
      </c>
      <c r="B74">
        <v>73</v>
      </c>
      <c r="C74" t="s">
        <v>29</v>
      </c>
      <c r="D74">
        <v>6</v>
      </c>
      <c r="E74">
        <v>91</v>
      </c>
      <c r="F74">
        <v>37</v>
      </c>
      <c r="G74">
        <v>54</v>
      </c>
      <c r="H74">
        <v>5</v>
      </c>
      <c r="I74">
        <v>0</v>
      </c>
      <c r="J74">
        <v>4</v>
      </c>
      <c r="K74">
        <v>2</v>
      </c>
      <c r="L74">
        <v>0</v>
      </c>
      <c r="M74">
        <v>0</v>
      </c>
      <c r="N74">
        <v>0</v>
      </c>
      <c r="O74">
        <v>0</v>
      </c>
      <c r="P74">
        <v>0</v>
      </c>
      <c r="Q74">
        <v>0</v>
      </c>
      <c r="R74">
        <v>0</v>
      </c>
      <c r="S74">
        <v>0</v>
      </c>
      <c r="T74">
        <v>0</v>
      </c>
      <c r="U74">
        <v>0</v>
      </c>
      <c r="V74">
        <v>0</v>
      </c>
      <c r="W74">
        <v>0</v>
      </c>
      <c r="X74">
        <v>0</v>
      </c>
      <c r="Y74">
        <v>0</v>
      </c>
      <c r="Z74">
        <v>0</v>
      </c>
      <c r="AA74">
        <v>0</v>
      </c>
      <c r="AB74">
        <v>0</v>
      </c>
      <c r="AC74" t="str" cm="1">
        <f t="array" ref="AC74">_xlfn.IFS(excel_project[[#This Row],[Total Messages]]&gt;=600,"Very High",excel_project[[#This Row],[Total Messages]]&gt;=300,"High",excel_project[[#This Row],[Total Messages]]&gt;=100,"Medium",TRUE,"Low")</f>
        <v>Low</v>
      </c>
    </row>
    <row r="75" spans="1:29">
      <c r="A75" t="s">
        <v>100</v>
      </c>
      <c r="B75">
        <v>74</v>
      </c>
      <c r="C75" t="s">
        <v>29</v>
      </c>
      <c r="D75">
        <v>1</v>
      </c>
      <c r="E75">
        <v>8</v>
      </c>
      <c r="F75">
        <v>6</v>
      </c>
      <c r="G75">
        <v>2</v>
      </c>
      <c r="H75">
        <v>0</v>
      </c>
      <c r="I75">
        <v>0</v>
      </c>
      <c r="J75">
        <v>2</v>
      </c>
      <c r="K75">
        <v>2</v>
      </c>
      <c r="L75">
        <v>0</v>
      </c>
      <c r="M75">
        <v>0</v>
      </c>
      <c r="N75">
        <v>0</v>
      </c>
      <c r="O75">
        <v>0</v>
      </c>
      <c r="P75">
        <v>0</v>
      </c>
      <c r="Q75">
        <v>0</v>
      </c>
      <c r="R75">
        <v>0</v>
      </c>
      <c r="S75">
        <v>0</v>
      </c>
      <c r="T75">
        <v>1</v>
      </c>
      <c r="U75">
        <v>0</v>
      </c>
      <c r="V75">
        <v>0</v>
      </c>
      <c r="W75">
        <v>0</v>
      </c>
      <c r="X75">
        <v>0</v>
      </c>
      <c r="Y75">
        <v>0</v>
      </c>
      <c r="Z75">
        <v>0</v>
      </c>
      <c r="AA75">
        <v>4</v>
      </c>
      <c r="AB75">
        <v>0</v>
      </c>
      <c r="AC75" t="str" cm="1">
        <f t="array" ref="AC75">_xlfn.IFS(excel_project[[#This Row],[Total Messages]]&gt;=600,"Very High",excel_project[[#This Row],[Total Messages]]&gt;=300,"High",excel_project[[#This Row],[Total Messages]]&gt;=100,"Medium",TRUE,"Low")</f>
        <v>Low</v>
      </c>
    </row>
    <row r="76" spans="1:29">
      <c r="A76" t="s">
        <v>101</v>
      </c>
      <c r="B76">
        <v>75</v>
      </c>
      <c r="C76" t="s">
        <v>29</v>
      </c>
      <c r="D76">
        <v>1</v>
      </c>
      <c r="E76">
        <v>2</v>
      </c>
      <c r="F76">
        <v>1</v>
      </c>
      <c r="G76">
        <v>1</v>
      </c>
      <c r="H76">
        <v>0</v>
      </c>
      <c r="I76">
        <v>0</v>
      </c>
      <c r="J76">
        <v>1</v>
      </c>
      <c r="K76">
        <v>1</v>
      </c>
      <c r="L76">
        <v>0</v>
      </c>
      <c r="M76">
        <v>0</v>
      </c>
      <c r="N76">
        <v>0</v>
      </c>
      <c r="O76">
        <v>0</v>
      </c>
      <c r="P76">
        <v>0</v>
      </c>
      <c r="Q76">
        <v>0</v>
      </c>
      <c r="R76">
        <v>0</v>
      </c>
      <c r="S76">
        <v>0</v>
      </c>
      <c r="T76">
        <v>0</v>
      </c>
      <c r="U76">
        <v>0</v>
      </c>
      <c r="V76">
        <v>0</v>
      </c>
      <c r="W76">
        <v>0</v>
      </c>
      <c r="X76">
        <v>0</v>
      </c>
      <c r="Y76">
        <v>0</v>
      </c>
      <c r="Z76">
        <v>0</v>
      </c>
      <c r="AA76">
        <v>0</v>
      </c>
      <c r="AB76">
        <v>0</v>
      </c>
      <c r="AC76" t="str" cm="1">
        <f t="array" ref="AC76">_xlfn.IFS(excel_project[[#This Row],[Total Messages]]&gt;=600,"Very High",excel_project[[#This Row],[Total Messages]]&gt;=300,"High",excel_project[[#This Row],[Total Messages]]&gt;=100,"Medium",TRUE,"Low")</f>
        <v>Low</v>
      </c>
    </row>
    <row r="77" spans="1:29">
      <c r="A77" t="s">
        <v>102</v>
      </c>
      <c r="B77">
        <v>76</v>
      </c>
      <c r="C77" t="s">
        <v>29</v>
      </c>
      <c r="D77">
        <v>3</v>
      </c>
      <c r="E77">
        <v>7</v>
      </c>
      <c r="F77">
        <v>3</v>
      </c>
      <c r="G77">
        <v>4</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t="str" cm="1">
        <f t="array" ref="AC77">_xlfn.IFS(excel_project[[#This Row],[Total Messages]]&gt;=600,"Very High",excel_project[[#This Row],[Total Messages]]&gt;=300,"High",excel_project[[#This Row],[Total Messages]]&gt;=100,"Medium",TRUE,"Low")</f>
        <v>Low</v>
      </c>
    </row>
    <row r="78" spans="1:29">
      <c r="A78" t="s">
        <v>103</v>
      </c>
      <c r="B78">
        <v>77</v>
      </c>
      <c r="C78" t="s">
        <v>29</v>
      </c>
      <c r="D78">
        <v>5</v>
      </c>
      <c r="E78">
        <v>46</v>
      </c>
      <c r="F78">
        <v>27</v>
      </c>
      <c r="G78">
        <v>19</v>
      </c>
      <c r="H78">
        <v>0</v>
      </c>
      <c r="I78">
        <v>0</v>
      </c>
      <c r="J78">
        <v>0</v>
      </c>
      <c r="K78">
        <v>1</v>
      </c>
      <c r="L78">
        <v>0</v>
      </c>
      <c r="M78">
        <v>0</v>
      </c>
      <c r="N78">
        <v>0</v>
      </c>
      <c r="O78">
        <v>0</v>
      </c>
      <c r="P78">
        <v>0</v>
      </c>
      <c r="Q78">
        <v>0</v>
      </c>
      <c r="R78">
        <v>0</v>
      </c>
      <c r="S78">
        <v>0</v>
      </c>
      <c r="T78">
        <v>1</v>
      </c>
      <c r="U78">
        <v>0</v>
      </c>
      <c r="V78">
        <v>0</v>
      </c>
      <c r="W78">
        <v>0</v>
      </c>
      <c r="X78">
        <v>0</v>
      </c>
      <c r="Y78">
        <v>0</v>
      </c>
      <c r="Z78">
        <v>0</v>
      </c>
      <c r="AA78">
        <v>0</v>
      </c>
      <c r="AB78">
        <v>0</v>
      </c>
      <c r="AC78" t="str" cm="1">
        <f t="array" ref="AC78">_xlfn.IFS(excel_project[[#This Row],[Total Messages]]&gt;=600,"Very High",excel_project[[#This Row],[Total Messages]]&gt;=300,"High",excel_project[[#This Row],[Total Messages]]&gt;=100,"Medium",TRUE,"Low")</f>
        <v>Low</v>
      </c>
    </row>
    <row r="79" spans="1:29">
      <c r="A79" t="s">
        <v>104</v>
      </c>
      <c r="B79">
        <v>78</v>
      </c>
      <c r="C79" t="s">
        <v>29</v>
      </c>
      <c r="D79">
        <v>1</v>
      </c>
      <c r="E79">
        <v>2</v>
      </c>
      <c r="F79">
        <v>1</v>
      </c>
      <c r="G79">
        <v>1</v>
      </c>
      <c r="H79">
        <v>0</v>
      </c>
      <c r="I79">
        <v>0</v>
      </c>
      <c r="J79">
        <v>0</v>
      </c>
      <c r="K79">
        <v>0</v>
      </c>
      <c r="L79">
        <v>1</v>
      </c>
      <c r="M79">
        <v>0</v>
      </c>
      <c r="N79">
        <v>1</v>
      </c>
      <c r="O79">
        <v>0</v>
      </c>
      <c r="P79">
        <v>0</v>
      </c>
      <c r="Q79">
        <v>0</v>
      </c>
      <c r="R79">
        <v>0</v>
      </c>
      <c r="S79">
        <v>0</v>
      </c>
      <c r="T79">
        <v>0</v>
      </c>
      <c r="U79">
        <v>0</v>
      </c>
      <c r="V79">
        <v>0</v>
      </c>
      <c r="W79">
        <v>0</v>
      </c>
      <c r="X79">
        <v>0</v>
      </c>
      <c r="Y79">
        <v>0</v>
      </c>
      <c r="Z79">
        <v>0</v>
      </c>
      <c r="AA79">
        <v>0</v>
      </c>
      <c r="AB79">
        <v>0</v>
      </c>
      <c r="AC79" t="str" cm="1">
        <f t="array" ref="AC79">_xlfn.IFS(excel_project[[#This Row],[Total Messages]]&gt;=600,"Very High",excel_project[[#This Row],[Total Messages]]&gt;=300,"High",excel_project[[#This Row],[Total Messages]]&gt;=100,"Medium",TRUE,"Low")</f>
        <v>Low</v>
      </c>
    </row>
    <row r="80" spans="1:29">
      <c r="A80" t="s">
        <v>105</v>
      </c>
      <c r="B80">
        <v>79</v>
      </c>
      <c r="C80" t="s">
        <v>29</v>
      </c>
      <c r="D80">
        <v>4</v>
      </c>
      <c r="E80">
        <v>66</v>
      </c>
      <c r="F80">
        <v>30</v>
      </c>
      <c r="G80">
        <v>36</v>
      </c>
      <c r="H80">
        <v>0</v>
      </c>
      <c r="I80">
        <v>0</v>
      </c>
      <c r="J80">
        <v>0</v>
      </c>
      <c r="K80">
        <v>0</v>
      </c>
      <c r="L80">
        <v>0</v>
      </c>
      <c r="M80">
        <v>0</v>
      </c>
      <c r="N80">
        <v>1</v>
      </c>
      <c r="O80">
        <v>0</v>
      </c>
      <c r="P80">
        <v>0</v>
      </c>
      <c r="Q80">
        <v>0</v>
      </c>
      <c r="R80">
        <v>0</v>
      </c>
      <c r="S80">
        <v>0</v>
      </c>
      <c r="T80">
        <v>1</v>
      </c>
      <c r="U80">
        <v>0</v>
      </c>
      <c r="V80">
        <v>0</v>
      </c>
      <c r="W80">
        <v>0</v>
      </c>
      <c r="X80">
        <v>0</v>
      </c>
      <c r="Y80">
        <v>2</v>
      </c>
      <c r="Z80">
        <v>0</v>
      </c>
      <c r="AA80">
        <v>0</v>
      </c>
      <c r="AB80">
        <v>0</v>
      </c>
      <c r="AC80" t="str" cm="1">
        <f t="array" ref="AC80">_xlfn.IFS(excel_project[[#This Row],[Total Messages]]&gt;=600,"Very High",excel_project[[#This Row],[Total Messages]]&gt;=300,"High",excel_project[[#This Row],[Total Messages]]&gt;=100,"Medium",TRUE,"Low")</f>
        <v>Low</v>
      </c>
    </row>
    <row r="81" spans="1:29">
      <c r="A81" t="s">
        <v>107</v>
      </c>
      <c r="B81">
        <v>80</v>
      </c>
      <c r="C81" t="s">
        <v>29</v>
      </c>
      <c r="D81">
        <v>1</v>
      </c>
      <c r="E81">
        <v>5</v>
      </c>
      <c r="F81">
        <v>4</v>
      </c>
      <c r="G81">
        <v>1</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t="str" cm="1">
        <f t="array" ref="AC81">_xlfn.IFS(excel_project[[#This Row],[Total Messages]]&gt;=600,"Very High",excel_project[[#This Row],[Total Messages]]&gt;=300,"High",excel_project[[#This Row],[Total Messages]]&gt;=100,"Medium",TRUE,"Low")</f>
        <v>Low</v>
      </c>
    </row>
    <row r="82" spans="1:29">
      <c r="A82" t="s">
        <v>108</v>
      </c>
      <c r="B82">
        <v>81</v>
      </c>
      <c r="C82" t="s">
        <v>29</v>
      </c>
      <c r="D82">
        <v>1</v>
      </c>
      <c r="E82">
        <v>2</v>
      </c>
      <c r="F82">
        <v>1</v>
      </c>
      <c r="G82">
        <v>1</v>
      </c>
      <c r="H82">
        <v>0</v>
      </c>
      <c r="I82">
        <v>0</v>
      </c>
      <c r="J82">
        <v>0</v>
      </c>
      <c r="K82">
        <v>0</v>
      </c>
      <c r="L82">
        <v>1</v>
      </c>
      <c r="M82">
        <v>0</v>
      </c>
      <c r="N82">
        <v>1</v>
      </c>
      <c r="O82">
        <v>0</v>
      </c>
      <c r="P82">
        <v>0</v>
      </c>
      <c r="Q82">
        <v>0</v>
      </c>
      <c r="R82">
        <v>0</v>
      </c>
      <c r="S82">
        <v>0</v>
      </c>
      <c r="T82">
        <v>0</v>
      </c>
      <c r="U82">
        <v>0</v>
      </c>
      <c r="V82">
        <v>0</v>
      </c>
      <c r="W82">
        <v>0</v>
      </c>
      <c r="X82">
        <v>0</v>
      </c>
      <c r="Y82">
        <v>0</v>
      </c>
      <c r="Z82">
        <v>0</v>
      </c>
      <c r="AA82">
        <v>0</v>
      </c>
      <c r="AB82">
        <v>0</v>
      </c>
      <c r="AC82" t="str" cm="1">
        <f t="array" ref="AC82">_xlfn.IFS(excel_project[[#This Row],[Total Messages]]&gt;=600,"Very High",excel_project[[#This Row],[Total Messages]]&gt;=300,"High",excel_project[[#This Row],[Total Messages]]&gt;=100,"Medium",TRUE,"Low")</f>
        <v>Low</v>
      </c>
    </row>
    <row r="83" spans="1:29">
      <c r="A83" t="s">
        <v>109</v>
      </c>
      <c r="B83">
        <v>82</v>
      </c>
      <c r="C83" t="s">
        <v>29</v>
      </c>
      <c r="D83">
        <v>2</v>
      </c>
      <c r="E83">
        <v>2</v>
      </c>
      <c r="F83">
        <v>1</v>
      </c>
      <c r="G83">
        <v>1</v>
      </c>
      <c r="H83">
        <v>0</v>
      </c>
      <c r="I83">
        <v>0</v>
      </c>
      <c r="J83">
        <v>0</v>
      </c>
      <c r="K83">
        <v>0</v>
      </c>
      <c r="L83">
        <v>0</v>
      </c>
      <c r="M83">
        <v>1</v>
      </c>
      <c r="N83">
        <v>1</v>
      </c>
      <c r="O83">
        <v>0</v>
      </c>
      <c r="P83">
        <v>0.63</v>
      </c>
      <c r="Q83">
        <v>0</v>
      </c>
      <c r="R83">
        <v>0</v>
      </c>
      <c r="S83">
        <v>0</v>
      </c>
      <c r="T83">
        <v>0</v>
      </c>
      <c r="U83">
        <v>0</v>
      </c>
      <c r="V83">
        <v>0</v>
      </c>
      <c r="W83">
        <v>0</v>
      </c>
      <c r="X83">
        <v>0</v>
      </c>
      <c r="Y83">
        <v>0</v>
      </c>
      <c r="Z83">
        <v>0</v>
      </c>
      <c r="AA83">
        <v>0</v>
      </c>
      <c r="AB83">
        <v>0</v>
      </c>
      <c r="AC83" t="str" cm="1">
        <f t="array" ref="AC83">_xlfn.IFS(excel_project[[#This Row],[Total Messages]]&gt;=600,"Very High",excel_project[[#This Row],[Total Messages]]&gt;=300,"High",excel_project[[#This Row],[Total Messages]]&gt;=100,"Medium",TRUE,"Low")</f>
        <v>Low</v>
      </c>
    </row>
    <row r="84" spans="1:29">
      <c r="A84" t="s">
        <v>110</v>
      </c>
      <c r="B84">
        <v>83</v>
      </c>
      <c r="C84" t="s">
        <v>29</v>
      </c>
      <c r="D84">
        <v>1</v>
      </c>
      <c r="E84">
        <v>1</v>
      </c>
      <c r="F84">
        <v>1</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t="str" cm="1">
        <f t="array" ref="AC84">_xlfn.IFS(excel_project[[#This Row],[Total Messages]]&gt;=600,"Very High",excel_project[[#This Row],[Total Messages]]&gt;=300,"High",excel_project[[#This Row],[Total Messages]]&gt;=100,"Medium",TRUE,"Low")</f>
        <v>Low</v>
      </c>
    </row>
    <row r="85" spans="1:29">
      <c r="A85" t="s">
        <v>111</v>
      </c>
      <c r="B85">
        <v>84</v>
      </c>
      <c r="C85" t="s">
        <v>29</v>
      </c>
      <c r="D85">
        <v>2</v>
      </c>
      <c r="E85">
        <v>5</v>
      </c>
      <c r="F85">
        <v>4</v>
      </c>
      <c r="G85">
        <v>1</v>
      </c>
      <c r="H85">
        <v>0</v>
      </c>
      <c r="I85">
        <v>0</v>
      </c>
      <c r="J85">
        <v>0</v>
      </c>
      <c r="K85">
        <v>0</v>
      </c>
      <c r="L85">
        <v>0</v>
      </c>
      <c r="M85">
        <v>0</v>
      </c>
      <c r="N85">
        <v>0</v>
      </c>
      <c r="O85">
        <v>0</v>
      </c>
      <c r="P85">
        <v>0</v>
      </c>
      <c r="Q85">
        <v>0</v>
      </c>
      <c r="R85">
        <v>0</v>
      </c>
      <c r="S85">
        <v>0</v>
      </c>
      <c r="T85">
        <v>3</v>
      </c>
      <c r="U85">
        <v>0</v>
      </c>
      <c r="V85">
        <v>0</v>
      </c>
      <c r="W85">
        <v>0</v>
      </c>
      <c r="X85">
        <v>0</v>
      </c>
      <c r="Y85">
        <v>0</v>
      </c>
      <c r="Z85">
        <v>0</v>
      </c>
      <c r="AA85">
        <v>0</v>
      </c>
      <c r="AB85">
        <v>0</v>
      </c>
      <c r="AC85" t="str" cm="1">
        <f t="array" ref="AC85">_xlfn.IFS(excel_project[[#This Row],[Total Messages]]&gt;=600,"Very High",excel_project[[#This Row],[Total Messages]]&gt;=300,"High",excel_project[[#This Row],[Total Messages]]&gt;=100,"Medium",TRUE,"Low")</f>
        <v>Low</v>
      </c>
    </row>
    <row r="86" spans="1:29">
      <c r="A86" t="s">
        <v>112</v>
      </c>
      <c r="B86">
        <v>85</v>
      </c>
      <c r="C86" t="s">
        <v>29</v>
      </c>
      <c r="D86">
        <v>6</v>
      </c>
      <c r="E86">
        <v>69</v>
      </c>
      <c r="F86">
        <v>41</v>
      </c>
      <c r="G86">
        <v>28</v>
      </c>
      <c r="H86">
        <v>7</v>
      </c>
      <c r="I86">
        <v>1</v>
      </c>
      <c r="J86">
        <v>6</v>
      </c>
      <c r="K86">
        <v>3</v>
      </c>
      <c r="L86">
        <v>0</v>
      </c>
      <c r="M86">
        <v>0</v>
      </c>
      <c r="N86">
        <v>1</v>
      </c>
      <c r="O86">
        <v>0</v>
      </c>
      <c r="P86">
        <v>0</v>
      </c>
      <c r="Q86">
        <v>3</v>
      </c>
      <c r="R86">
        <v>0</v>
      </c>
      <c r="S86">
        <v>1</v>
      </c>
      <c r="T86">
        <v>5</v>
      </c>
      <c r="U86">
        <v>0</v>
      </c>
      <c r="V86">
        <v>0</v>
      </c>
      <c r="W86">
        <v>0</v>
      </c>
      <c r="X86">
        <v>0</v>
      </c>
      <c r="Y86">
        <v>0</v>
      </c>
      <c r="Z86">
        <v>0</v>
      </c>
      <c r="AA86">
        <v>0</v>
      </c>
      <c r="AB86">
        <v>0</v>
      </c>
      <c r="AC86" t="str" cm="1">
        <f t="array" ref="AC86">_xlfn.IFS(excel_project[[#This Row],[Total Messages]]&gt;=600,"Very High",excel_project[[#This Row],[Total Messages]]&gt;=300,"High",excel_project[[#This Row],[Total Messages]]&gt;=100,"Medium",TRUE,"Low")</f>
        <v>Low</v>
      </c>
    </row>
    <row r="87" spans="1:29">
      <c r="A87" t="s">
        <v>113</v>
      </c>
      <c r="B87">
        <v>86</v>
      </c>
      <c r="C87" t="s">
        <v>62</v>
      </c>
      <c r="D87">
        <v>1</v>
      </c>
      <c r="E87">
        <v>15</v>
      </c>
      <c r="F87">
        <v>8</v>
      </c>
      <c r="G87">
        <v>7</v>
      </c>
      <c r="H87">
        <v>0</v>
      </c>
      <c r="I87">
        <v>0</v>
      </c>
      <c r="J87">
        <v>0</v>
      </c>
      <c r="K87">
        <v>0</v>
      </c>
      <c r="L87">
        <v>0</v>
      </c>
      <c r="M87">
        <v>0</v>
      </c>
      <c r="N87">
        <v>0</v>
      </c>
      <c r="O87">
        <v>0</v>
      </c>
      <c r="P87">
        <v>0</v>
      </c>
      <c r="Q87">
        <v>0</v>
      </c>
      <c r="R87">
        <v>0</v>
      </c>
      <c r="S87">
        <v>0</v>
      </c>
      <c r="T87">
        <v>1</v>
      </c>
      <c r="U87">
        <v>0</v>
      </c>
      <c r="V87">
        <v>0</v>
      </c>
      <c r="W87">
        <v>0</v>
      </c>
      <c r="X87">
        <v>0</v>
      </c>
      <c r="Y87">
        <v>0</v>
      </c>
      <c r="Z87">
        <v>0</v>
      </c>
      <c r="AA87">
        <v>0</v>
      </c>
      <c r="AB87">
        <v>0</v>
      </c>
      <c r="AC87" t="str" cm="1">
        <f t="array" ref="AC87">_xlfn.IFS(excel_project[[#This Row],[Total Messages]]&gt;=600,"Very High",excel_project[[#This Row],[Total Messages]]&gt;=300,"High",excel_project[[#This Row],[Total Messages]]&gt;=100,"Medium",TRUE,"Low")</f>
        <v>Low</v>
      </c>
    </row>
    <row r="88" spans="1:29">
      <c r="A88" t="s">
        <v>114</v>
      </c>
      <c r="B88">
        <v>87</v>
      </c>
      <c r="C88" t="s">
        <v>29</v>
      </c>
      <c r="D88">
        <v>2</v>
      </c>
      <c r="E88">
        <v>5</v>
      </c>
      <c r="F88">
        <v>3</v>
      </c>
      <c r="G88">
        <v>2</v>
      </c>
      <c r="H88">
        <v>0</v>
      </c>
      <c r="I88">
        <v>0</v>
      </c>
      <c r="J88">
        <v>0</v>
      </c>
      <c r="K88">
        <v>0</v>
      </c>
      <c r="L88">
        <v>0</v>
      </c>
      <c r="M88">
        <v>0</v>
      </c>
      <c r="N88">
        <v>0</v>
      </c>
      <c r="O88">
        <v>0</v>
      </c>
      <c r="P88">
        <v>0</v>
      </c>
      <c r="Q88">
        <v>1</v>
      </c>
      <c r="R88">
        <v>0</v>
      </c>
      <c r="S88">
        <v>0</v>
      </c>
      <c r="T88">
        <v>0</v>
      </c>
      <c r="U88">
        <v>0</v>
      </c>
      <c r="V88">
        <v>0</v>
      </c>
      <c r="W88">
        <v>0</v>
      </c>
      <c r="X88">
        <v>0</v>
      </c>
      <c r="Y88">
        <v>0</v>
      </c>
      <c r="Z88">
        <v>0</v>
      </c>
      <c r="AA88">
        <v>0</v>
      </c>
      <c r="AB88">
        <v>0</v>
      </c>
      <c r="AC88" t="str" cm="1">
        <f t="array" ref="AC88">_xlfn.IFS(excel_project[[#This Row],[Total Messages]]&gt;=600,"Very High",excel_project[[#This Row],[Total Messages]]&gt;=300,"High",excel_project[[#This Row],[Total Messages]]&gt;=100,"Medium",TRUE,"Low")</f>
        <v>Low</v>
      </c>
    </row>
    <row r="89" spans="1:29">
      <c r="A89" t="s">
        <v>115</v>
      </c>
      <c r="B89">
        <v>88</v>
      </c>
      <c r="C89" t="s">
        <v>29</v>
      </c>
      <c r="D89">
        <v>7</v>
      </c>
      <c r="E89">
        <v>201</v>
      </c>
      <c r="F89">
        <v>96</v>
      </c>
      <c r="G89">
        <v>105</v>
      </c>
      <c r="H89">
        <v>4</v>
      </c>
      <c r="I89">
        <v>4</v>
      </c>
      <c r="J89">
        <v>2</v>
      </c>
      <c r="K89">
        <v>0</v>
      </c>
      <c r="L89">
        <v>0</v>
      </c>
      <c r="M89">
        <v>0</v>
      </c>
      <c r="N89">
        <v>0</v>
      </c>
      <c r="O89">
        <v>0</v>
      </c>
      <c r="P89">
        <v>0</v>
      </c>
      <c r="Q89">
        <v>2</v>
      </c>
      <c r="R89">
        <v>0</v>
      </c>
      <c r="S89">
        <v>2</v>
      </c>
      <c r="T89">
        <v>9</v>
      </c>
      <c r="U89">
        <v>0</v>
      </c>
      <c r="V89">
        <v>0</v>
      </c>
      <c r="W89">
        <v>0</v>
      </c>
      <c r="X89">
        <v>0</v>
      </c>
      <c r="Y89">
        <v>0</v>
      </c>
      <c r="Z89">
        <v>0</v>
      </c>
      <c r="AA89">
        <v>2</v>
      </c>
      <c r="AB89">
        <v>0</v>
      </c>
      <c r="AC89" t="str" cm="1">
        <f t="array" ref="AC89">_xlfn.IFS(excel_project[[#This Row],[Total Messages]]&gt;=600,"Very High",excel_project[[#This Row],[Total Messages]]&gt;=300,"High",excel_project[[#This Row],[Total Messages]]&gt;=100,"Medium",TRUE,"Low")</f>
        <v>Medium</v>
      </c>
    </row>
    <row r="90" spans="1:29">
      <c r="A90" t="s">
        <v>116</v>
      </c>
      <c r="B90">
        <v>89</v>
      </c>
      <c r="C90" t="s">
        <v>62</v>
      </c>
      <c r="D90">
        <v>1</v>
      </c>
      <c r="E90">
        <v>18</v>
      </c>
      <c r="F90">
        <v>8</v>
      </c>
      <c r="G90">
        <v>10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t="str" cm="1">
        <f t="array" ref="AC90">_xlfn.IFS(excel_project[[#This Row],[Total Messages]]&gt;=600,"Very High",excel_project[[#This Row],[Total Messages]]&gt;=300,"High",excel_project[[#This Row],[Total Messages]]&gt;=100,"Medium",TRUE,"Low")</f>
        <v>Low</v>
      </c>
    </row>
    <row r="91" spans="1:29">
      <c r="A91" t="s">
        <v>118</v>
      </c>
      <c r="B91">
        <v>90</v>
      </c>
      <c r="C91" t="s">
        <v>29</v>
      </c>
      <c r="D91">
        <v>1</v>
      </c>
      <c r="E91">
        <v>2</v>
      </c>
      <c r="F91">
        <v>1</v>
      </c>
      <c r="G91">
        <v>1</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t="str" cm="1">
        <f t="array" ref="AC91">_xlfn.IFS(excel_project[[#This Row],[Total Messages]]&gt;=600,"Very High",excel_project[[#This Row],[Total Messages]]&gt;=300,"High",excel_project[[#This Row],[Total Messages]]&gt;=100,"Medium",TRUE,"Low")</f>
        <v>Low</v>
      </c>
    </row>
    <row r="92" spans="1:29">
      <c r="A92" t="s">
        <v>119</v>
      </c>
      <c r="B92">
        <v>91</v>
      </c>
      <c r="C92" t="s">
        <v>29</v>
      </c>
      <c r="D92">
        <v>1</v>
      </c>
      <c r="E92">
        <v>1</v>
      </c>
      <c r="F92">
        <v>1</v>
      </c>
      <c r="G92">
        <v>0</v>
      </c>
      <c r="H92">
        <v>0</v>
      </c>
      <c r="I92">
        <v>0</v>
      </c>
      <c r="J92">
        <v>0</v>
      </c>
      <c r="K92">
        <v>0</v>
      </c>
      <c r="L92">
        <v>0</v>
      </c>
      <c r="M92">
        <v>0</v>
      </c>
      <c r="N92">
        <v>0</v>
      </c>
      <c r="O92">
        <v>0</v>
      </c>
      <c r="P92">
        <v>0</v>
      </c>
      <c r="Q92">
        <v>0</v>
      </c>
      <c r="R92">
        <v>0</v>
      </c>
      <c r="S92">
        <v>0</v>
      </c>
      <c r="T92">
        <v>1</v>
      </c>
      <c r="U92">
        <v>0</v>
      </c>
      <c r="V92">
        <v>0</v>
      </c>
      <c r="W92">
        <v>0</v>
      </c>
      <c r="X92">
        <v>0</v>
      </c>
      <c r="Y92">
        <v>0</v>
      </c>
      <c r="Z92">
        <v>0</v>
      </c>
      <c r="AA92">
        <v>0</v>
      </c>
      <c r="AB92">
        <v>0</v>
      </c>
      <c r="AC92" t="str" cm="1">
        <f t="array" ref="AC92">_xlfn.IFS(excel_project[[#This Row],[Total Messages]]&gt;=600,"Very High",excel_project[[#This Row],[Total Messages]]&gt;=300,"High",excel_project[[#This Row],[Total Messages]]&gt;=100,"Medium",TRUE,"Low")</f>
        <v>Low</v>
      </c>
    </row>
    <row r="93" spans="1:29">
      <c r="A93" t="s">
        <v>120</v>
      </c>
      <c r="B93">
        <v>92</v>
      </c>
      <c r="C93" t="s">
        <v>29</v>
      </c>
      <c r="D93">
        <v>1</v>
      </c>
      <c r="E93">
        <v>1</v>
      </c>
      <c r="F93">
        <v>1</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t="str" cm="1">
        <f t="array" ref="AC93">_xlfn.IFS(excel_project[[#This Row],[Total Messages]]&gt;=600,"Very High",excel_project[[#This Row],[Total Messages]]&gt;=300,"High",excel_project[[#This Row],[Total Messages]]&gt;=100,"Medium",TRUE,"Low")</f>
        <v>Low</v>
      </c>
    </row>
    <row r="94" spans="1:29">
      <c r="A94" t="s">
        <v>121</v>
      </c>
      <c r="B94">
        <v>93</v>
      </c>
      <c r="C94" t="s">
        <v>29</v>
      </c>
      <c r="D94">
        <v>1</v>
      </c>
      <c r="E94">
        <v>1</v>
      </c>
      <c r="F94">
        <v>1</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t="str" cm="1">
        <f t="array" ref="AC94">_xlfn.IFS(excel_project[[#This Row],[Total Messages]]&gt;=600,"Very High",excel_project[[#This Row],[Total Messages]]&gt;=300,"High",excel_project[[#This Row],[Total Messages]]&gt;=100,"Medium",TRUE,"Low")</f>
        <v>Low</v>
      </c>
    </row>
    <row r="95" spans="1:29">
      <c r="A95" t="s">
        <v>122</v>
      </c>
      <c r="B95">
        <v>94</v>
      </c>
      <c r="C95" t="s">
        <v>29</v>
      </c>
      <c r="D95">
        <v>1</v>
      </c>
      <c r="E95">
        <v>1</v>
      </c>
      <c r="F95">
        <v>1</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t="str" cm="1">
        <f t="array" ref="AC95">_xlfn.IFS(excel_project[[#This Row],[Total Messages]]&gt;=600,"Very High",excel_project[[#This Row],[Total Messages]]&gt;=300,"High",excel_project[[#This Row],[Total Messages]]&gt;=100,"Medium",TRUE,"Low")</f>
        <v>Low</v>
      </c>
    </row>
    <row r="96" spans="1:29">
      <c r="A96" t="s">
        <v>123</v>
      </c>
      <c r="B96">
        <v>95</v>
      </c>
      <c r="C96" t="s">
        <v>29</v>
      </c>
      <c r="D96">
        <v>1</v>
      </c>
      <c r="E96">
        <v>1</v>
      </c>
      <c r="F96">
        <v>1</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t="str" cm="1">
        <f t="array" ref="AC96">_xlfn.IFS(excel_project[[#This Row],[Total Messages]]&gt;=600,"Very High",excel_project[[#This Row],[Total Messages]]&gt;=300,"High",excel_project[[#This Row],[Total Messages]]&gt;=100,"Medium",TRUE,"Low")</f>
        <v>Low</v>
      </c>
    </row>
  </sheetData>
  <conditionalFormatting sqref="D2:D96">
    <cfRule type="colorScale" priority="10">
      <colorScale>
        <cfvo type="min"/>
        <cfvo type="percentile" val="50"/>
        <cfvo type="max"/>
        <color rgb="FFF8696B"/>
        <color rgb="FFFFEB84"/>
        <color rgb="FF63BE7B"/>
      </colorScale>
    </cfRule>
  </conditionalFormatting>
  <conditionalFormatting sqref="E1:E1048576">
    <cfRule type="dataBar" priority="13">
      <dataBar>
        <cfvo type="min"/>
        <cfvo type="max"/>
        <color rgb="FF638EC6"/>
      </dataBar>
      <extLst>
        <ext xmlns:x14="http://schemas.microsoft.com/office/spreadsheetml/2009/9/main" uri="{B025F937-C7B1-47D3-B67F-A62EFF666E3E}">
          <x14:id>{41C393C7-E4D3-4996-80D3-B983BAD58CBC}</x14:id>
        </ext>
      </extLst>
    </cfRule>
    <cfRule type="top10" dxfId="8" priority="14" percent="1" rank="10"/>
  </conditionalFormatting>
  <conditionalFormatting sqref="J2:J96">
    <cfRule type="dataBar" priority="11">
      <dataBar>
        <cfvo type="min"/>
        <cfvo type="max"/>
        <color rgb="FFFFB628"/>
      </dataBar>
      <extLst>
        <ext xmlns:x14="http://schemas.microsoft.com/office/spreadsheetml/2009/9/main" uri="{B025F937-C7B1-47D3-B67F-A62EFF666E3E}">
          <x14:id>{4A079BBB-F8DD-478A-9C4C-EB3B314F92F2}</x14:id>
        </ext>
      </extLst>
    </cfRule>
  </conditionalFormatting>
  <conditionalFormatting sqref="L2:L96">
    <cfRule type="cellIs" dxfId="7" priority="12" operator="equal">
      <formula>0</formula>
    </cfRule>
  </conditionalFormatting>
  <conditionalFormatting sqref="N2:N96">
    <cfRule type="iconSet" priority="1">
      <iconSet iconSet="3Arrows">
        <cfvo type="percent" val="0"/>
        <cfvo type="percent" val="33"/>
        <cfvo type="percent" val="67"/>
      </iconSet>
    </cfRule>
  </conditionalFormatting>
  <conditionalFormatting sqref="P1">
    <cfRule type="top10" dxfId="6" priority="9" percent="1" rank="10"/>
  </conditionalFormatting>
  <conditionalFormatting sqref="P2:P96">
    <cfRule type="top10" dxfId="5" priority="8" percent="1" rank="10"/>
  </conditionalFormatting>
  <conditionalFormatting sqref="AC2:AC96">
    <cfRule type="cellIs" dxfId="4" priority="3" operator="equal">
      <formula>"Very High"</formula>
    </cfRule>
    <cfRule type="cellIs" dxfId="3" priority="4" operator="equal">
      <formula>"High"</formula>
    </cfRule>
    <cfRule type="cellIs" dxfId="2" priority="5" operator="equal">
      <formula>"Medium"</formula>
    </cfRule>
    <cfRule type="cellIs" dxfId="1" priority="6" operator="equal">
      <formula>"Low"</formula>
    </cfRule>
    <cfRule type="cellIs" dxfId="0" priority="7" operator="equal">
      <formula>4</formula>
    </cfRule>
  </conditionalFormatting>
  <dataValidations count="1">
    <dataValidation type="list" allowBlank="1" showInputMessage="1" showErrorMessage="1" sqref="C2:C96" xr:uid="{2ED1ECCB-F652-46AE-ACBF-19A0C4577D43}">
      <formula1>"M,F"</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1C393C7-E4D3-4996-80D3-B983BAD58CBC}">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 xmlns:xm="http://schemas.microsoft.com/office/excel/2006/main">
          <x14:cfRule type="dataBar" id="{4A079BBB-F8DD-478A-9C4C-EB3B314F92F2}">
            <x14:dataBar minLength="0" maxLength="100" border="1" negativeBarBorderColorSameAsPositive="0">
              <x14:cfvo type="autoMin"/>
              <x14:cfvo type="autoMax"/>
              <x14:borderColor rgb="FFFFB628"/>
              <x14:negativeFillColor rgb="FFFF0000"/>
              <x14:negativeBorderColor rgb="FFFF0000"/>
              <x14:axisColor rgb="FF000000"/>
            </x14:dataBar>
          </x14:cfRule>
          <xm:sqref>J2:J96</xm:sqref>
        </x14:conditionalFormatting>
        <x14:conditionalFormatting xmlns:xm="http://schemas.microsoft.com/office/excel/2006/main">
          <x14:cfRule type="iconSet" priority="2" id="{4D3775C7-9420-4951-BF7E-EDEE1867246A}">
            <x14:iconSet iconSet="3Stars">
              <x14:cfvo type="percent">
                <xm:f>0</xm:f>
              </x14:cfvo>
              <x14:cfvo type="percent">
                <xm:f>33</xm:f>
              </x14:cfvo>
              <x14:cfvo type="percent">
                <xm:f>67</xm:f>
              </x14:cfvo>
            </x14:iconSet>
          </x14:cfRule>
          <xm:sqref>T2:T96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F0D8-2354-4DDD-A18C-C93B264228A2}">
  <dimension ref="A1:K96"/>
  <sheetViews>
    <sheetView workbookViewId="0">
      <selection activeCell="I82" sqref="I82"/>
    </sheetView>
  </sheetViews>
  <sheetFormatPr defaultRowHeight="14.4"/>
  <cols>
    <col min="1" max="1" width="10.44140625" customWidth="1"/>
    <col min="2" max="2" width="16" customWidth="1"/>
    <col min="3" max="3" width="12.33203125" customWidth="1"/>
    <col min="4" max="4" width="13.5546875" customWidth="1"/>
    <col min="5" max="5" width="17.109375" customWidth="1"/>
    <col min="6" max="6" width="14.33203125" customWidth="1"/>
    <col min="8" max="8" width="12.21875" customWidth="1"/>
    <col min="9" max="9" width="21.33203125" customWidth="1"/>
    <col min="10" max="10" width="27.88671875" customWidth="1"/>
  </cols>
  <sheetData>
    <row r="1" spans="1:11">
      <c r="A1" t="s">
        <v>0</v>
      </c>
      <c r="B1" t="s">
        <v>125</v>
      </c>
      <c r="C1" t="s">
        <v>126</v>
      </c>
      <c r="D1" t="s">
        <v>127</v>
      </c>
      <c r="E1" t="s">
        <v>128</v>
      </c>
      <c r="F1" t="s">
        <v>129</v>
      </c>
      <c r="G1" t="s">
        <v>130</v>
      </c>
      <c r="H1" t="s">
        <v>131</v>
      </c>
      <c r="I1" t="s">
        <v>145</v>
      </c>
      <c r="J1" t="s">
        <v>132</v>
      </c>
    </row>
    <row r="2" spans="1:11">
      <c r="A2" t="str" cm="1">
        <f t="array" ref="A2:A96">excel_project[Contact_ID]</f>
        <v>1M</v>
      </c>
      <c r="B2" t="str">
        <f>LEFT(A2, LEN(A2)-1)</f>
        <v>1</v>
      </c>
      <c r="C2" t="str">
        <f>RIGHT(A2, 1)</f>
        <v>M</v>
      </c>
      <c r="D2" t="str">
        <f>SUBSTITUTE(SUBSTITUTE(C2, "M", "Male"), "F", "Female")</f>
        <v>Male</v>
      </c>
      <c r="E2" t="str">
        <f>_xlfn.TEXTJOIN(" ", TRUE, "Contact", B2, "("&amp;D2&amp;")")</f>
        <v>Contact 1 (Male)</v>
      </c>
      <c r="F2" t="str">
        <f>TRIM(A2)</f>
        <v>1M</v>
      </c>
      <c r="G2">
        <f>LEN(A2)</f>
        <v>2</v>
      </c>
      <c r="H2" t="str" cm="1">
        <f t="array" ref="H2">_xlfn.IFS(_xlfn.XLOOKUP(A2,excel_project[Contact_ID],excel_project[Total Messages])&gt;=600,"Very High",_xlfn.XLOOKUP(A2,excel_project[Contact_ID],excel_project[Total Messages])&gt;=300,"High",_xlfn.XLOOKUP(A2,excel_project[Contact_ID],excel_project[Total Messages])&gt;=100,"Medium",TRUE,"Low")</f>
        <v>Medium</v>
      </c>
      <c r="I2" t="str" cm="1">
        <f t="array" ref="I2">_xlfn.IFS(AND(_xlfn.XLOOKUP(A2,excel_project[Contact_ID],excel_project[Voice Note Sent])&gt;0,_xlfn.XLOOKUP(A2,excel_project[Contact_ID],excel_project[Call Sent])&gt;0),"Multi-Channel",_xlfn.XLOOKUP(A2,excel_project[Contact_ID],excel_project[Call Sent])&gt;0,"Caller",_xlfn.XLOOKUP(A2,excel_project[Contact_ID],excel_project[Voice Note Sent])&gt;0,"Voice Note User",TRUE,"Text Only")</f>
        <v>Multi-Channel</v>
      </c>
      <c r="J2" t="s">
        <v>133</v>
      </c>
      <c r="K2">
        <f>COUNTIFS(excel_project[Gender],"M")</f>
        <v>85</v>
      </c>
    </row>
    <row r="3" spans="1:11">
      <c r="A3" t="str">
        <v>2M</v>
      </c>
      <c r="B3" t="str">
        <f t="shared" ref="B3:B66" si="0">LEFT(A3, LEN(A3)-1)</f>
        <v>2</v>
      </c>
      <c r="C3" t="str">
        <f t="shared" ref="C3:C66" si="1">RIGHT(A3, 1)</f>
        <v>M</v>
      </c>
      <c r="D3" t="str">
        <f t="shared" ref="D3:D66" si="2">SUBSTITUTE(SUBSTITUTE(C3, "M", "Male"), "F", "Female")</f>
        <v>Male</v>
      </c>
      <c r="E3" t="str">
        <f t="shared" ref="E3:E66" si="3">_xlfn.TEXTJOIN(" ", TRUE, "Contact", B3, "("&amp;D3&amp;")")</f>
        <v>Contact 2 (Male)</v>
      </c>
      <c r="F3" t="str">
        <f t="shared" ref="F3:F66" si="4">TRIM(A3)</f>
        <v>2M</v>
      </c>
      <c r="G3">
        <f t="shared" ref="G3:G66" si="5">LEN(A3)</f>
        <v>2</v>
      </c>
      <c r="H3" t="str" cm="1">
        <f t="array" ref="H3">_xlfn.IFS(_xlfn.XLOOKUP(A3,excel_project[Contact_ID],excel_project[Total Messages])&gt;=600,"Very High",_xlfn.XLOOKUP(A3,excel_project[Contact_ID],excel_project[Total Messages])&gt;=300,"High",_xlfn.XLOOKUP(A3,excel_project[Contact_ID],excel_project[Total Messages])&gt;=100,"Medium",TRUE,"Low")</f>
        <v>Very High</v>
      </c>
      <c r="I3" t="str" cm="1">
        <f t="array" ref="I3">_xlfn.IFS(AND(_xlfn.XLOOKUP(A3,excel_project[Contact_ID],excel_project[Voice Note Sent])&gt;0,_xlfn.XLOOKUP(A3,excel_project[Contact_ID],excel_project[Call Sent])&gt;0),"Multi-Channel",_xlfn.XLOOKUP(A3,excel_project[Contact_ID],excel_project[Call Sent])&gt;0,"Caller",_xlfn.XLOOKUP(A3,excel_project[Contact_ID],excel_project[Voice Note Sent])&gt;0,"Voice Note User",TRUE,"Text Only")</f>
        <v>Multi-Channel</v>
      </c>
      <c r="J3" t="s">
        <v>134</v>
      </c>
      <c r="K3">
        <f>COUNTIFS(excel_project[Gender],"F")</f>
        <v>10</v>
      </c>
    </row>
    <row r="4" spans="1:11">
      <c r="A4" t="str">
        <v>3F</v>
      </c>
      <c r="B4" t="str">
        <f t="shared" si="0"/>
        <v>3</v>
      </c>
      <c r="C4" t="str">
        <f t="shared" si="1"/>
        <v>F</v>
      </c>
      <c r="D4" t="str">
        <f t="shared" si="2"/>
        <v>Female</v>
      </c>
      <c r="E4" t="str">
        <f t="shared" si="3"/>
        <v>Contact 3 (Female)</v>
      </c>
      <c r="F4" t="str">
        <f t="shared" si="4"/>
        <v>3F</v>
      </c>
      <c r="G4">
        <f t="shared" si="5"/>
        <v>2</v>
      </c>
      <c r="H4" t="str" cm="1">
        <f t="array" ref="H4">_xlfn.IFS(_xlfn.XLOOKUP(A4,excel_project[Contact_ID],excel_project[Total Messages])&gt;=600,"Very High",_xlfn.XLOOKUP(A4,excel_project[Contact_ID],excel_project[Total Messages])&gt;=300,"High",_xlfn.XLOOKUP(A4,excel_project[Contact_ID],excel_project[Total Messages])&gt;=100,"Medium",TRUE,"Low")</f>
        <v>Medium</v>
      </c>
      <c r="I4" t="str" cm="1">
        <f t="array" ref="I4">_xlfn.IFS(AND(_xlfn.XLOOKUP(A4,excel_project[Contact_ID],excel_project[Voice Note Sent])&gt;0,_xlfn.XLOOKUP(A4,excel_project[Contact_ID],excel_project[Call Sent])&gt;0),"Multi-Channel",_xlfn.XLOOKUP(A4,excel_project[Contact_ID],excel_project[Call Sent])&gt;0,"Caller",_xlfn.XLOOKUP(A4,excel_project[Contact_ID],excel_project[Voice Note Sent])&gt;0,"Voice Note User",TRUE,"Text Only")</f>
        <v>Voice Note User</v>
      </c>
      <c r="J4" t="s">
        <v>135</v>
      </c>
      <c r="K4">
        <f>SUMIFS(excel_project[Total Messages],excel_project[Gender],"M")</f>
        <v>12987</v>
      </c>
    </row>
    <row r="5" spans="1:11">
      <c r="A5" t="str">
        <v>4F</v>
      </c>
      <c r="B5" t="str">
        <f t="shared" si="0"/>
        <v>4</v>
      </c>
      <c r="C5" t="str">
        <f t="shared" si="1"/>
        <v>F</v>
      </c>
      <c r="D5" t="str">
        <f t="shared" si="2"/>
        <v>Female</v>
      </c>
      <c r="E5" t="str">
        <f t="shared" si="3"/>
        <v>Contact 4 (Female)</v>
      </c>
      <c r="F5" t="str">
        <f t="shared" si="4"/>
        <v>4F</v>
      </c>
      <c r="G5">
        <f t="shared" si="5"/>
        <v>2</v>
      </c>
      <c r="H5" t="str" cm="1">
        <f t="array" ref="H5">_xlfn.IFS(_xlfn.XLOOKUP(A5,excel_project[Contact_ID],excel_project[Total Messages])&gt;=600,"Very High",_xlfn.XLOOKUP(A5,excel_project[Contact_ID],excel_project[Total Messages])&gt;=300,"High",_xlfn.XLOOKUP(A5,excel_project[Contact_ID],excel_project[Total Messages])&gt;=100,"Medium",TRUE,"Low")</f>
        <v>High</v>
      </c>
      <c r="I5" t="str" cm="1">
        <f t="array" ref="I5">_xlfn.IFS(AND(_xlfn.XLOOKUP(A5,excel_project[Contact_ID],excel_project[Voice Note Sent])&gt;0,_xlfn.XLOOKUP(A5,excel_project[Contact_ID],excel_project[Call Sent])&gt;0),"Multi-Channel",_xlfn.XLOOKUP(A5,excel_project[Contact_ID],excel_project[Call Sent])&gt;0,"Caller",_xlfn.XLOOKUP(A5,excel_project[Contact_ID],excel_project[Voice Note Sent])&gt;0,"Voice Note User",TRUE,"Text Only")</f>
        <v>Text Only</v>
      </c>
      <c r="J5" t="s">
        <v>136</v>
      </c>
      <c r="K5">
        <f>SUMIFS(excel_project[Total Messages],excel_project[Gender],"F")</f>
        <v>843</v>
      </c>
    </row>
    <row r="6" spans="1:11">
      <c r="A6" t="str">
        <v>5M</v>
      </c>
      <c r="B6" t="str">
        <f t="shared" si="0"/>
        <v>5</v>
      </c>
      <c r="C6" t="str">
        <f t="shared" si="1"/>
        <v>M</v>
      </c>
      <c r="D6" t="str">
        <f t="shared" si="2"/>
        <v>Male</v>
      </c>
      <c r="E6" t="str">
        <f t="shared" si="3"/>
        <v>Contact 5 (Male)</v>
      </c>
      <c r="F6" t="str">
        <f t="shared" si="4"/>
        <v>5M</v>
      </c>
      <c r="G6">
        <f t="shared" si="5"/>
        <v>2</v>
      </c>
      <c r="H6" t="str" cm="1">
        <f t="array" ref="H6">_xlfn.IFS(_xlfn.XLOOKUP(A6,excel_project[Contact_ID],excel_project[Total Messages])&gt;=600,"Very High",_xlfn.XLOOKUP(A6,excel_project[Contact_ID],excel_project[Total Messages])&gt;=300,"High",_xlfn.XLOOKUP(A6,excel_project[Contact_ID],excel_project[Total Messages])&gt;=100,"Medium",TRUE,"Low")</f>
        <v>Low</v>
      </c>
      <c r="I6" t="str" cm="1">
        <f t="array" ref="I6">_xlfn.IFS(AND(_xlfn.XLOOKUP(A6,excel_project[Contact_ID],excel_project[Voice Note Sent])&gt;0,_xlfn.XLOOKUP(A6,excel_project[Contact_ID],excel_project[Call Sent])&gt;0),"Multi-Channel",_xlfn.XLOOKUP(A6,excel_project[Contact_ID],excel_project[Call Sent])&gt;0,"Caller",_xlfn.XLOOKUP(A6,excel_project[Contact_ID],excel_project[Voice Note Sent])&gt;0,"Voice Note User",TRUE,"Text Only")</f>
        <v>Voice Note User</v>
      </c>
      <c r="J6" t="s">
        <v>137</v>
      </c>
      <c r="K6">
        <f>AVERAGEIFS(excel_project[Total Messages],excel_project[Gender],"M")</f>
        <v>152.78823529411764</v>
      </c>
    </row>
    <row r="7" spans="1:11">
      <c r="A7" t="str">
        <v>6M</v>
      </c>
      <c r="B7" t="str">
        <f t="shared" si="0"/>
        <v>6</v>
      </c>
      <c r="C7" t="str">
        <f t="shared" si="1"/>
        <v>M</v>
      </c>
      <c r="D7" t="str">
        <f t="shared" si="2"/>
        <v>Male</v>
      </c>
      <c r="E7" t="str">
        <f t="shared" si="3"/>
        <v>Contact 6 (Male)</v>
      </c>
      <c r="F7" t="str">
        <f t="shared" si="4"/>
        <v>6M</v>
      </c>
      <c r="G7">
        <f t="shared" si="5"/>
        <v>2</v>
      </c>
      <c r="H7" t="str" cm="1">
        <f t="array" ref="H7">_xlfn.IFS(_xlfn.XLOOKUP(A7,excel_project[Contact_ID],excel_project[Total Messages])&gt;=600,"Very High",_xlfn.XLOOKUP(A7,excel_project[Contact_ID],excel_project[Total Messages])&gt;=300,"High",_xlfn.XLOOKUP(A7,excel_project[Contact_ID],excel_project[Total Messages])&gt;=100,"Medium",TRUE,"Low")</f>
        <v>High</v>
      </c>
      <c r="I7" t="str" cm="1">
        <f t="array" ref="I7">_xlfn.IFS(AND(_xlfn.XLOOKUP(A7,excel_project[Contact_ID],excel_project[Voice Note Sent])&gt;0,_xlfn.XLOOKUP(A7,excel_project[Contact_ID],excel_project[Call Sent])&gt;0),"Multi-Channel",_xlfn.XLOOKUP(A7,excel_project[Contact_ID],excel_project[Call Sent])&gt;0,"Caller",_xlfn.XLOOKUP(A7,excel_project[Contact_ID],excel_project[Voice Note Sent])&gt;0,"Voice Note User",TRUE,"Text Only")</f>
        <v>Voice Note User</v>
      </c>
      <c r="J7" t="s">
        <v>138</v>
      </c>
      <c r="K7">
        <f>AVERAGEIFS(excel_project[Total Messages],excel_project[Gender],"F")</f>
        <v>84.3</v>
      </c>
    </row>
    <row r="8" spans="1:11">
      <c r="A8" t="str">
        <v>7M</v>
      </c>
      <c r="B8" t="str">
        <f t="shared" si="0"/>
        <v>7</v>
      </c>
      <c r="C8" t="str">
        <f t="shared" si="1"/>
        <v>M</v>
      </c>
      <c r="D8" t="str">
        <f t="shared" si="2"/>
        <v>Male</v>
      </c>
      <c r="E8" t="str">
        <f t="shared" si="3"/>
        <v>Contact 7 (Male)</v>
      </c>
      <c r="F8" t="str">
        <f t="shared" si="4"/>
        <v>7M</v>
      </c>
      <c r="G8">
        <f t="shared" si="5"/>
        <v>2</v>
      </c>
      <c r="H8" t="str" cm="1">
        <f t="array" ref="H8">_xlfn.IFS(_xlfn.XLOOKUP(A8,excel_project[Contact_ID],excel_project[Total Messages])&gt;=600,"Very High",_xlfn.XLOOKUP(A8,excel_project[Contact_ID],excel_project[Total Messages])&gt;=300,"High",_xlfn.XLOOKUP(A8,excel_project[Contact_ID],excel_project[Total Messages])&gt;=100,"Medium",TRUE,"Low")</f>
        <v>Low</v>
      </c>
      <c r="I8" t="str" cm="1">
        <f t="array" ref="I8">_xlfn.IFS(AND(_xlfn.XLOOKUP(A8,excel_project[Contact_ID],excel_project[Voice Note Sent])&gt;0,_xlfn.XLOOKUP(A8,excel_project[Contact_ID],excel_project[Call Sent])&gt;0),"Multi-Channel",_xlfn.XLOOKUP(A8,excel_project[Contact_ID],excel_project[Call Sent])&gt;0,"Caller",_xlfn.XLOOKUP(A8,excel_project[Contact_ID],excel_project[Voice Note Sent])&gt;0,"Voice Note User",TRUE,"Text Only")</f>
        <v>Voice Note User</v>
      </c>
      <c r="J8" t="s">
        <v>139</v>
      </c>
      <c r="K8">
        <f>_xlfn.MAXIFS(excel_project[Total Messages],excel_project[Gender],"M")</f>
        <v>2420</v>
      </c>
    </row>
    <row r="9" spans="1:11">
      <c r="A9" t="str">
        <v>8M</v>
      </c>
      <c r="B9" t="str">
        <f t="shared" si="0"/>
        <v>8</v>
      </c>
      <c r="C9" t="str">
        <f t="shared" si="1"/>
        <v>M</v>
      </c>
      <c r="D9" t="str">
        <f t="shared" si="2"/>
        <v>Male</v>
      </c>
      <c r="E9" t="str">
        <f t="shared" si="3"/>
        <v>Contact 8 (Male)</v>
      </c>
      <c r="F9" t="str">
        <f t="shared" si="4"/>
        <v>8M</v>
      </c>
      <c r="G9">
        <f t="shared" si="5"/>
        <v>2</v>
      </c>
      <c r="H9" t="str" cm="1">
        <f t="array" ref="H9">_xlfn.IFS(_xlfn.XLOOKUP(A9,excel_project[Contact_ID],excel_project[Total Messages])&gt;=600,"Very High",_xlfn.XLOOKUP(A9,excel_project[Contact_ID],excel_project[Total Messages])&gt;=300,"High",_xlfn.XLOOKUP(A9,excel_project[Contact_ID],excel_project[Total Messages])&gt;=100,"Medium",TRUE,"Low")</f>
        <v>Low</v>
      </c>
      <c r="I9" t="str" cm="1">
        <f t="array" ref="I9">_xlfn.IFS(AND(_xlfn.XLOOKUP(A9,excel_project[Contact_ID],excel_project[Voice Note Sent])&gt;0,_xlfn.XLOOKUP(A9,excel_project[Contact_ID],excel_project[Call Sent])&gt;0),"Multi-Channel",_xlfn.XLOOKUP(A9,excel_project[Contact_ID],excel_project[Call Sent])&gt;0,"Caller",_xlfn.XLOOKUP(A9,excel_project[Contact_ID],excel_project[Voice Note Sent])&gt;0,"Voice Note User",TRUE,"Text Only")</f>
        <v>Voice Note User</v>
      </c>
      <c r="J9" t="s">
        <v>140</v>
      </c>
      <c r="K9">
        <f>_xlfn.MINIFS(excel_project[Total Messages],excel_project[Gender],"M")</f>
        <v>1</v>
      </c>
    </row>
    <row r="10" spans="1:11">
      <c r="A10" t="str">
        <v>9M</v>
      </c>
      <c r="B10" t="str">
        <f t="shared" si="0"/>
        <v>9</v>
      </c>
      <c r="C10" t="str">
        <f t="shared" si="1"/>
        <v>M</v>
      </c>
      <c r="D10" t="str">
        <f t="shared" si="2"/>
        <v>Male</v>
      </c>
      <c r="E10" t="str">
        <f t="shared" si="3"/>
        <v>Contact 9 (Male)</v>
      </c>
      <c r="F10" t="str">
        <f t="shared" si="4"/>
        <v>9M</v>
      </c>
      <c r="G10">
        <f t="shared" si="5"/>
        <v>2</v>
      </c>
      <c r="H10" t="str" cm="1">
        <f t="array" ref="H10">_xlfn.IFS(_xlfn.XLOOKUP(A10,excel_project[Contact_ID],excel_project[Total Messages])&gt;=600,"Very High",_xlfn.XLOOKUP(A10,excel_project[Contact_ID],excel_project[Total Messages])&gt;=300,"High",_xlfn.XLOOKUP(A10,excel_project[Contact_ID],excel_project[Total Messages])&gt;=100,"Medium",TRUE,"Low")</f>
        <v>Very High</v>
      </c>
      <c r="I10" t="str" cm="1">
        <f t="array" ref="I10">_xlfn.IFS(AND(_xlfn.XLOOKUP(A10,excel_project[Contact_ID],excel_project[Voice Note Sent])&gt;0,_xlfn.XLOOKUP(A10,excel_project[Contact_ID],excel_project[Call Sent])&gt;0),"Multi-Channel",_xlfn.XLOOKUP(A10,excel_project[Contact_ID],excel_project[Call Sent])&gt;0,"Caller",_xlfn.XLOOKUP(A10,excel_project[Contact_ID],excel_project[Voice Note Sent])&gt;0,"Voice Note User",TRUE,"Text Only")</f>
        <v>Multi-Channel</v>
      </c>
      <c r="J10" t="s">
        <v>141</v>
      </c>
      <c r="K10">
        <f>_xlfn.MAXIFS(excel_project[Total Messages],excel_project[Gender],"F")</f>
        <v>370</v>
      </c>
    </row>
    <row r="11" spans="1:11">
      <c r="A11" t="str">
        <v>10M</v>
      </c>
      <c r="B11" t="str">
        <f t="shared" si="0"/>
        <v>10</v>
      </c>
      <c r="C11" t="str">
        <f t="shared" si="1"/>
        <v>M</v>
      </c>
      <c r="D11" t="str">
        <f t="shared" si="2"/>
        <v>Male</v>
      </c>
      <c r="E11" t="str">
        <f t="shared" si="3"/>
        <v>Contact 10 (Male)</v>
      </c>
      <c r="F11" t="str">
        <f t="shared" si="4"/>
        <v>10M</v>
      </c>
      <c r="G11">
        <f t="shared" si="5"/>
        <v>3</v>
      </c>
      <c r="H11" t="str" cm="1">
        <f t="array" ref="H11">_xlfn.IFS(_xlfn.XLOOKUP(A11,excel_project[Contact_ID],excel_project[Total Messages])&gt;=600,"Very High",_xlfn.XLOOKUP(A11,excel_project[Contact_ID],excel_project[Total Messages])&gt;=300,"High",_xlfn.XLOOKUP(A11,excel_project[Contact_ID],excel_project[Total Messages])&gt;=100,"Medium",TRUE,"Low")</f>
        <v>Low</v>
      </c>
      <c r="I11" t="str" cm="1">
        <f t="array" ref="I11">_xlfn.IFS(AND(_xlfn.XLOOKUP(A11,excel_project[Contact_ID],excel_project[Voice Note Sent])&gt;0,_xlfn.XLOOKUP(A11,excel_project[Contact_ID],excel_project[Call Sent])&gt;0),"Multi-Channel",_xlfn.XLOOKUP(A11,excel_project[Contact_ID],excel_project[Call Sent])&gt;0,"Caller",_xlfn.XLOOKUP(A11,excel_project[Contact_ID],excel_project[Voice Note Sent])&gt;0,"Voice Note User",TRUE,"Text Only")</f>
        <v>Text Only</v>
      </c>
      <c r="J11" t="s">
        <v>142</v>
      </c>
      <c r="K11">
        <f>_xlfn.MINIFS(excel_project[Total Messages],excel_project[Gender],"F")</f>
        <v>6</v>
      </c>
    </row>
    <row r="12" spans="1:11">
      <c r="A12" t="str">
        <v>11M</v>
      </c>
      <c r="B12" t="str">
        <f t="shared" si="0"/>
        <v>11</v>
      </c>
      <c r="C12" t="str">
        <f t="shared" si="1"/>
        <v>M</v>
      </c>
      <c r="D12" t="str">
        <f t="shared" si="2"/>
        <v>Male</v>
      </c>
      <c r="E12" t="str">
        <f t="shared" si="3"/>
        <v>Contact 11 (Male)</v>
      </c>
      <c r="F12" t="str">
        <f t="shared" si="4"/>
        <v>11M</v>
      </c>
      <c r="G12">
        <f t="shared" si="5"/>
        <v>3</v>
      </c>
      <c r="H12" t="str" cm="1">
        <f t="array" ref="H12">_xlfn.IFS(_xlfn.XLOOKUP(A12,excel_project[Contact_ID],excel_project[Total Messages])&gt;=600,"Very High",_xlfn.XLOOKUP(A12,excel_project[Contact_ID],excel_project[Total Messages])&gt;=300,"High",_xlfn.XLOOKUP(A12,excel_project[Contact_ID],excel_project[Total Messages])&gt;=100,"Medium",TRUE,"Low")</f>
        <v>Medium</v>
      </c>
      <c r="I12" t="str" cm="1">
        <f t="array" ref="I12">_xlfn.IFS(AND(_xlfn.XLOOKUP(A12,excel_project[Contact_ID],excel_project[Voice Note Sent])&gt;0,_xlfn.XLOOKUP(A12,excel_project[Contact_ID],excel_project[Call Sent])&gt;0),"Multi-Channel",_xlfn.XLOOKUP(A12,excel_project[Contact_ID],excel_project[Call Sent])&gt;0,"Caller",_xlfn.XLOOKUP(A12,excel_project[Contact_ID],excel_project[Voice Note Sent])&gt;0,"Voice Note User",TRUE,"Text Only")</f>
        <v>Text Only</v>
      </c>
      <c r="J12" t="s">
        <v>143</v>
      </c>
      <c r="K12">
        <f>COUNTIFS(H2:H96,"Very High")</f>
        <v>6</v>
      </c>
    </row>
    <row r="13" spans="1:11">
      <c r="A13" t="str">
        <v>12M</v>
      </c>
      <c r="B13" t="str">
        <f t="shared" si="0"/>
        <v>12</v>
      </c>
      <c r="C13" t="str">
        <f t="shared" si="1"/>
        <v>M</v>
      </c>
      <c r="D13" t="str">
        <f t="shared" si="2"/>
        <v>Male</v>
      </c>
      <c r="E13" t="str">
        <f t="shared" si="3"/>
        <v>Contact 12 (Male)</v>
      </c>
      <c r="F13" t="str">
        <f t="shared" si="4"/>
        <v>12M</v>
      </c>
      <c r="G13">
        <f t="shared" si="5"/>
        <v>3</v>
      </c>
      <c r="H13" t="str" cm="1">
        <f t="array" ref="H13">_xlfn.IFS(_xlfn.XLOOKUP(A13,excel_project[Contact_ID],excel_project[Total Messages])&gt;=600,"Very High",_xlfn.XLOOKUP(A13,excel_project[Contact_ID],excel_project[Total Messages])&gt;=300,"High",_xlfn.XLOOKUP(A13,excel_project[Contact_ID],excel_project[Total Messages])&gt;=100,"Medium",TRUE,"Low")</f>
        <v>Very High</v>
      </c>
      <c r="I13" t="str" cm="1">
        <f t="array" ref="I13">_xlfn.IFS(AND(_xlfn.XLOOKUP(A13,excel_project[Contact_ID],excel_project[Voice Note Sent])&gt;0,_xlfn.XLOOKUP(A13,excel_project[Contact_ID],excel_project[Call Sent])&gt;0),"Multi-Channel",_xlfn.XLOOKUP(A13,excel_project[Contact_ID],excel_project[Call Sent])&gt;0,"Caller",_xlfn.XLOOKUP(A13,excel_project[Contact_ID],excel_project[Voice Note Sent])&gt;0,"Voice Note User",TRUE,"Text Only")</f>
        <v>Multi-Channel</v>
      </c>
      <c r="J13" t="s">
        <v>144</v>
      </c>
      <c r="K13">
        <f>COUNTIFS(H2:H96,"High")</f>
        <v>4</v>
      </c>
    </row>
    <row r="14" spans="1:11">
      <c r="A14" t="str">
        <v>13M</v>
      </c>
      <c r="B14" t="str">
        <f t="shared" si="0"/>
        <v>13</v>
      </c>
      <c r="C14" t="str">
        <f t="shared" si="1"/>
        <v>M</v>
      </c>
      <c r="D14" t="str">
        <f t="shared" si="2"/>
        <v>Male</v>
      </c>
      <c r="E14" t="str">
        <f t="shared" si="3"/>
        <v>Contact 13 (Male)</v>
      </c>
      <c r="F14" t="str">
        <f t="shared" si="4"/>
        <v>13M</v>
      </c>
      <c r="G14">
        <f t="shared" si="5"/>
        <v>3</v>
      </c>
      <c r="H14" t="str" cm="1">
        <f t="array" ref="H14">_xlfn.IFS(_xlfn.XLOOKUP(A14,excel_project[Contact_ID],excel_project[Total Messages])&gt;=600,"Very High",_xlfn.XLOOKUP(A14,excel_project[Contact_ID],excel_project[Total Messages])&gt;=300,"High",_xlfn.XLOOKUP(A14,excel_project[Contact_ID],excel_project[Total Messages])&gt;=100,"Medium",TRUE,"Low")</f>
        <v>Low</v>
      </c>
      <c r="I14" t="str" cm="1">
        <f t="array" ref="I14">_xlfn.IFS(AND(_xlfn.XLOOKUP(A14,excel_project[Contact_ID],excel_project[Voice Note Sent])&gt;0,_xlfn.XLOOKUP(A14,excel_project[Contact_ID],excel_project[Call Sent])&gt;0),"Multi-Channel",_xlfn.XLOOKUP(A14,excel_project[Contact_ID],excel_project[Call Sent])&gt;0,"Caller",_xlfn.XLOOKUP(A14,excel_project[Contact_ID],excel_project[Voice Note Sent])&gt;0,"Voice Note User",TRUE,"Text Only")</f>
        <v>Text Only</v>
      </c>
    </row>
    <row r="15" spans="1:11">
      <c r="A15" t="str">
        <v>14M</v>
      </c>
      <c r="B15" t="str">
        <f t="shared" si="0"/>
        <v>14</v>
      </c>
      <c r="C15" t="str">
        <f t="shared" si="1"/>
        <v>M</v>
      </c>
      <c r="D15" t="str">
        <f t="shared" si="2"/>
        <v>Male</v>
      </c>
      <c r="E15" t="str">
        <f t="shared" si="3"/>
        <v>Contact 14 (Male)</v>
      </c>
      <c r="F15" t="str">
        <f t="shared" si="4"/>
        <v>14M</v>
      </c>
      <c r="G15">
        <f t="shared" si="5"/>
        <v>3</v>
      </c>
      <c r="H15" t="str" cm="1">
        <f t="array" ref="H15">_xlfn.IFS(_xlfn.XLOOKUP(A15,excel_project[Contact_ID],excel_project[Total Messages])&gt;=600,"Very High",_xlfn.XLOOKUP(A15,excel_project[Contact_ID],excel_project[Total Messages])&gt;=300,"High",_xlfn.XLOOKUP(A15,excel_project[Contact_ID],excel_project[Total Messages])&gt;=100,"Medium",TRUE,"Low")</f>
        <v>Low</v>
      </c>
      <c r="I15" t="str" cm="1">
        <f t="array" ref="I15">_xlfn.IFS(AND(_xlfn.XLOOKUP(A15,excel_project[Contact_ID],excel_project[Voice Note Sent])&gt;0,_xlfn.XLOOKUP(A15,excel_project[Contact_ID],excel_project[Call Sent])&gt;0),"Multi-Channel",_xlfn.XLOOKUP(A15,excel_project[Contact_ID],excel_project[Call Sent])&gt;0,"Caller",_xlfn.XLOOKUP(A15,excel_project[Contact_ID],excel_project[Voice Note Sent])&gt;0,"Voice Note User",TRUE,"Text Only")</f>
        <v>Text Only</v>
      </c>
    </row>
    <row r="16" spans="1:11">
      <c r="A16" t="str">
        <v>15M</v>
      </c>
      <c r="B16" t="str">
        <f t="shared" si="0"/>
        <v>15</v>
      </c>
      <c r="C16" t="str">
        <f t="shared" si="1"/>
        <v>M</v>
      </c>
      <c r="D16" t="str">
        <f t="shared" si="2"/>
        <v>Male</v>
      </c>
      <c r="E16" t="str">
        <f t="shared" si="3"/>
        <v>Contact 15 (Male)</v>
      </c>
      <c r="F16" t="str">
        <f t="shared" si="4"/>
        <v>15M</v>
      </c>
      <c r="G16">
        <f t="shared" si="5"/>
        <v>3</v>
      </c>
      <c r="H16" t="str" cm="1">
        <f t="array" ref="H16">_xlfn.IFS(_xlfn.XLOOKUP(A16,excel_project[Contact_ID],excel_project[Total Messages])&gt;=600,"Very High",_xlfn.XLOOKUP(A16,excel_project[Contact_ID],excel_project[Total Messages])&gt;=300,"High",_xlfn.XLOOKUP(A16,excel_project[Contact_ID],excel_project[Total Messages])&gt;=100,"Medium",TRUE,"Low")</f>
        <v>Very High</v>
      </c>
      <c r="I16" t="str" cm="1">
        <f t="array" ref="I16">_xlfn.IFS(AND(_xlfn.XLOOKUP(A16,excel_project[Contact_ID],excel_project[Voice Note Sent])&gt;0,_xlfn.XLOOKUP(A16,excel_project[Contact_ID],excel_project[Call Sent])&gt;0),"Multi-Channel",_xlfn.XLOOKUP(A16,excel_project[Contact_ID],excel_project[Call Sent])&gt;0,"Caller",_xlfn.XLOOKUP(A16,excel_project[Contact_ID],excel_project[Voice Note Sent])&gt;0,"Voice Note User",TRUE,"Text Only")</f>
        <v>Multi-Channel</v>
      </c>
    </row>
    <row r="17" spans="1:9">
      <c r="A17" t="str">
        <v>16M</v>
      </c>
      <c r="B17" t="str">
        <f t="shared" si="0"/>
        <v>16</v>
      </c>
      <c r="C17" t="str">
        <f t="shared" si="1"/>
        <v>M</v>
      </c>
      <c r="D17" t="str">
        <f t="shared" si="2"/>
        <v>Male</v>
      </c>
      <c r="E17" t="str">
        <f t="shared" si="3"/>
        <v>Contact 16 (Male)</v>
      </c>
      <c r="F17" t="str">
        <f t="shared" si="4"/>
        <v>16M</v>
      </c>
      <c r="G17">
        <f t="shared" si="5"/>
        <v>3</v>
      </c>
      <c r="H17" t="str" cm="1">
        <f t="array" ref="H17">_xlfn.IFS(_xlfn.XLOOKUP(A17,excel_project[Contact_ID],excel_project[Total Messages])&gt;=600,"Very High",_xlfn.XLOOKUP(A17,excel_project[Contact_ID],excel_project[Total Messages])&gt;=300,"High",_xlfn.XLOOKUP(A17,excel_project[Contact_ID],excel_project[Total Messages])&gt;=100,"Medium",TRUE,"Low")</f>
        <v>High</v>
      </c>
      <c r="I17" t="str" cm="1">
        <f t="array" ref="I17">_xlfn.IFS(AND(_xlfn.XLOOKUP(A17,excel_project[Contact_ID],excel_project[Voice Note Sent])&gt;0,_xlfn.XLOOKUP(A17,excel_project[Contact_ID],excel_project[Call Sent])&gt;0),"Multi-Channel",_xlfn.XLOOKUP(A17,excel_project[Contact_ID],excel_project[Call Sent])&gt;0,"Caller",_xlfn.XLOOKUP(A17,excel_project[Contact_ID],excel_project[Voice Note Sent])&gt;0,"Voice Note User",TRUE,"Text Only")</f>
        <v>Voice Note User</v>
      </c>
    </row>
    <row r="18" spans="1:9">
      <c r="A18" t="str">
        <v>17M</v>
      </c>
      <c r="B18" t="str">
        <f t="shared" si="0"/>
        <v>17</v>
      </c>
      <c r="C18" t="str">
        <f t="shared" si="1"/>
        <v>M</v>
      </c>
      <c r="D18" t="str">
        <f t="shared" si="2"/>
        <v>Male</v>
      </c>
      <c r="E18" t="str">
        <f t="shared" si="3"/>
        <v>Contact 17 (Male)</v>
      </c>
      <c r="F18" t="str">
        <f t="shared" si="4"/>
        <v>17M</v>
      </c>
      <c r="G18">
        <f t="shared" si="5"/>
        <v>3</v>
      </c>
      <c r="H18" t="str" cm="1">
        <f t="array" ref="H18">_xlfn.IFS(_xlfn.XLOOKUP(A18,excel_project[Contact_ID],excel_project[Total Messages])&gt;=600,"Very High",_xlfn.XLOOKUP(A18,excel_project[Contact_ID],excel_project[Total Messages])&gt;=300,"High",_xlfn.XLOOKUP(A18,excel_project[Contact_ID],excel_project[Total Messages])&gt;=100,"Medium",TRUE,"Low")</f>
        <v>Low</v>
      </c>
      <c r="I18" t="str" cm="1">
        <f t="array" ref="I18">_xlfn.IFS(AND(_xlfn.XLOOKUP(A18,excel_project[Contact_ID],excel_project[Voice Note Sent])&gt;0,_xlfn.XLOOKUP(A18,excel_project[Contact_ID],excel_project[Call Sent])&gt;0),"Multi-Channel",_xlfn.XLOOKUP(A18,excel_project[Contact_ID],excel_project[Call Sent])&gt;0,"Caller",_xlfn.XLOOKUP(A18,excel_project[Contact_ID],excel_project[Voice Note Sent])&gt;0,"Voice Note User",TRUE,"Text Only")</f>
        <v>Text Only</v>
      </c>
    </row>
    <row r="19" spans="1:9">
      <c r="A19" t="str">
        <v>18M</v>
      </c>
      <c r="B19" t="str">
        <f t="shared" si="0"/>
        <v>18</v>
      </c>
      <c r="C19" t="str">
        <f t="shared" si="1"/>
        <v>M</v>
      </c>
      <c r="D19" t="str">
        <f t="shared" si="2"/>
        <v>Male</v>
      </c>
      <c r="E19" t="str">
        <f t="shared" si="3"/>
        <v>Contact 18 (Male)</v>
      </c>
      <c r="F19" t="str">
        <f t="shared" si="4"/>
        <v>18M</v>
      </c>
      <c r="G19">
        <f t="shared" si="5"/>
        <v>3</v>
      </c>
      <c r="H19" t="str" cm="1">
        <f t="array" ref="H19">_xlfn.IFS(_xlfn.XLOOKUP(A19,excel_project[Contact_ID],excel_project[Total Messages])&gt;=600,"Very High",_xlfn.XLOOKUP(A19,excel_project[Contact_ID],excel_project[Total Messages])&gt;=300,"High",_xlfn.XLOOKUP(A19,excel_project[Contact_ID],excel_project[Total Messages])&gt;=100,"Medium",TRUE,"Low")</f>
        <v>Very High</v>
      </c>
      <c r="I19" t="str" cm="1">
        <f t="array" ref="I19">_xlfn.IFS(AND(_xlfn.XLOOKUP(A19,excel_project[Contact_ID],excel_project[Voice Note Sent])&gt;0,_xlfn.XLOOKUP(A19,excel_project[Contact_ID],excel_project[Call Sent])&gt;0),"Multi-Channel",_xlfn.XLOOKUP(A19,excel_project[Contact_ID],excel_project[Call Sent])&gt;0,"Caller",_xlfn.XLOOKUP(A19,excel_project[Contact_ID],excel_project[Voice Note Sent])&gt;0,"Voice Note User",TRUE,"Text Only")</f>
        <v>Voice Note User</v>
      </c>
    </row>
    <row r="20" spans="1:9">
      <c r="A20" t="str">
        <v>19M</v>
      </c>
      <c r="B20" t="str">
        <f t="shared" si="0"/>
        <v>19</v>
      </c>
      <c r="C20" t="str">
        <f t="shared" si="1"/>
        <v>M</v>
      </c>
      <c r="D20" t="str">
        <f t="shared" si="2"/>
        <v>Male</v>
      </c>
      <c r="E20" t="str">
        <f t="shared" si="3"/>
        <v>Contact 19 (Male)</v>
      </c>
      <c r="F20" t="str">
        <f t="shared" si="4"/>
        <v>19M</v>
      </c>
      <c r="G20">
        <f t="shared" si="5"/>
        <v>3</v>
      </c>
      <c r="H20" t="str" cm="1">
        <f t="array" ref="H20">_xlfn.IFS(_xlfn.XLOOKUP(A20,excel_project[Contact_ID],excel_project[Total Messages])&gt;=600,"Very High",_xlfn.XLOOKUP(A20,excel_project[Contact_ID],excel_project[Total Messages])&gt;=300,"High",_xlfn.XLOOKUP(A20,excel_project[Contact_ID],excel_project[Total Messages])&gt;=100,"Medium",TRUE,"Low")</f>
        <v>High</v>
      </c>
      <c r="I20" t="str" cm="1">
        <f t="array" ref="I20">_xlfn.IFS(AND(_xlfn.XLOOKUP(A20,excel_project[Contact_ID],excel_project[Voice Note Sent])&gt;0,_xlfn.XLOOKUP(A20,excel_project[Contact_ID],excel_project[Call Sent])&gt;0),"Multi-Channel",_xlfn.XLOOKUP(A20,excel_project[Contact_ID],excel_project[Call Sent])&gt;0,"Caller",_xlfn.XLOOKUP(A20,excel_project[Contact_ID],excel_project[Voice Note Sent])&gt;0,"Voice Note User",TRUE,"Text Only")</f>
        <v>Multi-Channel</v>
      </c>
    </row>
    <row r="21" spans="1:9">
      <c r="A21" t="str">
        <v>20M</v>
      </c>
      <c r="B21" t="str">
        <f t="shared" si="0"/>
        <v>20</v>
      </c>
      <c r="C21" t="str">
        <f t="shared" si="1"/>
        <v>M</v>
      </c>
      <c r="D21" t="str">
        <f t="shared" si="2"/>
        <v>Male</v>
      </c>
      <c r="E21" t="str">
        <f t="shared" si="3"/>
        <v>Contact 20 (Male)</v>
      </c>
      <c r="F21" t="str">
        <f t="shared" si="4"/>
        <v>20M</v>
      </c>
      <c r="G21">
        <f t="shared" si="5"/>
        <v>3</v>
      </c>
      <c r="H21" t="str" cm="1">
        <f t="array" ref="H21">_xlfn.IFS(_xlfn.XLOOKUP(A21,excel_project[Contact_ID],excel_project[Total Messages])&gt;=600,"Very High",_xlfn.XLOOKUP(A21,excel_project[Contact_ID],excel_project[Total Messages])&gt;=300,"High",_xlfn.XLOOKUP(A21,excel_project[Contact_ID],excel_project[Total Messages])&gt;=100,"Medium",TRUE,"Low")</f>
        <v>Medium</v>
      </c>
      <c r="I21" t="str" cm="1">
        <f t="array" ref="I21">_xlfn.IFS(AND(_xlfn.XLOOKUP(A21,excel_project[Contact_ID],excel_project[Voice Note Sent])&gt;0,_xlfn.XLOOKUP(A21,excel_project[Contact_ID],excel_project[Call Sent])&gt;0),"Multi-Channel",_xlfn.XLOOKUP(A21,excel_project[Contact_ID],excel_project[Call Sent])&gt;0,"Caller",_xlfn.XLOOKUP(A21,excel_project[Contact_ID],excel_project[Voice Note Sent])&gt;0,"Voice Note User",TRUE,"Text Only")</f>
        <v>Voice Note User</v>
      </c>
    </row>
    <row r="22" spans="1:9">
      <c r="A22" t="str">
        <v>21M</v>
      </c>
      <c r="B22" t="str">
        <f t="shared" si="0"/>
        <v>21</v>
      </c>
      <c r="C22" t="str">
        <f t="shared" si="1"/>
        <v>M</v>
      </c>
      <c r="D22" t="str">
        <f t="shared" si="2"/>
        <v>Male</v>
      </c>
      <c r="E22" t="str">
        <f t="shared" si="3"/>
        <v>Contact 21 (Male)</v>
      </c>
      <c r="F22" t="str">
        <f t="shared" si="4"/>
        <v>21M</v>
      </c>
      <c r="G22">
        <f t="shared" si="5"/>
        <v>3</v>
      </c>
      <c r="H22" t="str" cm="1">
        <f t="array" ref="H22">_xlfn.IFS(_xlfn.XLOOKUP(A22,excel_project[Contact_ID],excel_project[Total Messages])&gt;=600,"Very High",_xlfn.XLOOKUP(A22,excel_project[Contact_ID],excel_project[Total Messages])&gt;=300,"High",_xlfn.XLOOKUP(A22,excel_project[Contact_ID],excel_project[Total Messages])&gt;=100,"Medium",TRUE,"Low")</f>
        <v>Low</v>
      </c>
      <c r="I22" t="str" cm="1">
        <f t="array" ref="I22">_xlfn.IFS(AND(_xlfn.XLOOKUP(A22,excel_project[Contact_ID],excel_project[Voice Note Sent])&gt;0,_xlfn.XLOOKUP(A22,excel_project[Contact_ID],excel_project[Call Sent])&gt;0),"Multi-Channel",_xlfn.XLOOKUP(A22,excel_project[Contact_ID],excel_project[Call Sent])&gt;0,"Caller",_xlfn.XLOOKUP(A22,excel_project[Contact_ID],excel_project[Voice Note Sent])&gt;0,"Voice Note User",TRUE,"Text Only")</f>
        <v>Text Only</v>
      </c>
    </row>
    <row r="23" spans="1:9">
      <c r="A23" t="str">
        <v>22M</v>
      </c>
      <c r="B23" t="str">
        <f t="shared" si="0"/>
        <v>22</v>
      </c>
      <c r="C23" t="str">
        <f t="shared" si="1"/>
        <v>M</v>
      </c>
      <c r="D23" t="str">
        <f t="shared" si="2"/>
        <v>Male</v>
      </c>
      <c r="E23" t="str">
        <f t="shared" si="3"/>
        <v>Contact 22 (Male)</v>
      </c>
      <c r="F23" t="str">
        <f t="shared" si="4"/>
        <v>22M</v>
      </c>
      <c r="G23">
        <f t="shared" si="5"/>
        <v>3</v>
      </c>
      <c r="H23" t="str" cm="1">
        <f t="array" ref="H23">_xlfn.IFS(_xlfn.XLOOKUP(A23,excel_project[Contact_ID],excel_project[Total Messages])&gt;=600,"Very High",_xlfn.XLOOKUP(A23,excel_project[Contact_ID],excel_project[Total Messages])&gt;=300,"High",_xlfn.XLOOKUP(A23,excel_project[Contact_ID],excel_project[Total Messages])&gt;=100,"Medium",TRUE,"Low")</f>
        <v>Medium</v>
      </c>
      <c r="I23" t="str" cm="1">
        <f t="array" ref="I23">_xlfn.IFS(AND(_xlfn.XLOOKUP(A23,excel_project[Contact_ID],excel_project[Voice Note Sent])&gt;0,_xlfn.XLOOKUP(A23,excel_project[Contact_ID],excel_project[Call Sent])&gt;0),"Multi-Channel",_xlfn.XLOOKUP(A23,excel_project[Contact_ID],excel_project[Call Sent])&gt;0,"Caller",_xlfn.XLOOKUP(A23,excel_project[Contact_ID],excel_project[Voice Note Sent])&gt;0,"Voice Note User",TRUE,"Text Only")</f>
        <v>Voice Note User</v>
      </c>
    </row>
    <row r="24" spans="1:9">
      <c r="A24" t="str">
        <v>23M</v>
      </c>
      <c r="B24" t="str">
        <f t="shared" si="0"/>
        <v>23</v>
      </c>
      <c r="C24" t="str">
        <f t="shared" si="1"/>
        <v>M</v>
      </c>
      <c r="D24" t="str">
        <f t="shared" si="2"/>
        <v>Male</v>
      </c>
      <c r="E24" t="str">
        <f t="shared" si="3"/>
        <v>Contact 23 (Male)</v>
      </c>
      <c r="F24" t="str">
        <f t="shared" si="4"/>
        <v>23M</v>
      </c>
      <c r="G24">
        <f t="shared" si="5"/>
        <v>3</v>
      </c>
      <c r="H24" t="str" cm="1">
        <f t="array" ref="H24">_xlfn.IFS(_xlfn.XLOOKUP(A24,excel_project[Contact_ID],excel_project[Total Messages])&gt;=600,"Very High",_xlfn.XLOOKUP(A24,excel_project[Contact_ID],excel_project[Total Messages])&gt;=300,"High",_xlfn.XLOOKUP(A24,excel_project[Contact_ID],excel_project[Total Messages])&gt;=100,"Medium",TRUE,"Low")</f>
        <v>Low</v>
      </c>
      <c r="I24" t="str" cm="1">
        <f t="array" ref="I24">_xlfn.IFS(AND(_xlfn.XLOOKUP(A24,excel_project[Contact_ID],excel_project[Voice Note Sent])&gt;0,_xlfn.XLOOKUP(A24,excel_project[Contact_ID],excel_project[Call Sent])&gt;0),"Multi-Channel",_xlfn.XLOOKUP(A24,excel_project[Contact_ID],excel_project[Call Sent])&gt;0,"Caller",_xlfn.XLOOKUP(A24,excel_project[Contact_ID],excel_project[Voice Note Sent])&gt;0,"Voice Note User",TRUE,"Text Only")</f>
        <v>Text Only</v>
      </c>
    </row>
    <row r="25" spans="1:9">
      <c r="A25" t="str">
        <v>24M</v>
      </c>
      <c r="B25" t="str">
        <f t="shared" si="0"/>
        <v>24</v>
      </c>
      <c r="C25" t="str">
        <f t="shared" si="1"/>
        <v>M</v>
      </c>
      <c r="D25" t="str">
        <f t="shared" si="2"/>
        <v>Male</v>
      </c>
      <c r="E25" t="str">
        <f t="shared" si="3"/>
        <v>Contact 24 (Male)</v>
      </c>
      <c r="F25" t="str">
        <f t="shared" si="4"/>
        <v>24M</v>
      </c>
      <c r="G25">
        <f t="shared" si="5"/>
        <v>3</v>
      </c>
      <c r="H25" t="str" cm="1">
        <f t="array" ref="H25">_xlfn.IFS(_xlfn.XLOOKUP(A25,excel_project[Contact_ID],excel_project[Total Messages])&gt;=600,"Very High",_xlfn.XLOOKUP(A25,excel_project[Contact_ID],excel_project[Total Messages])&gt;=300,"High",_xlfn.XLOOKUP(A25,excel_project[Contact_ID],excel_project[Total Messages])&gt;=100,"Medium",TRUE,"Low")</f>
        <v>Medium</v>
      </c>
      <c r="I25" t="str" cm="1">
        <f t="array" ref="I25">_xlfn.IFS(AND(_xlfn.XLOOKUP(A25,excel_project[Contact_ID],excel_project[Voice Note Sent])&gt;0,_xlfn.XLOOKUP(A25,excel_project[Contact_ID],excel_project[Call Sent])&gt;0),"Multi-Channel",_xlfn.XLOOKUP(A25,excel_project[Contact_ID],excel_project[Call Sent])&gt;0,"Caller",_xlfn.XLOOKUP(A25,excel_project[Contact_ID],excel_project[Voice Note Sent])&gt;0,"Voice Note User",TRUE,"Text Only")</f>
        <v>Text Only</v>
      </c>
    </row>
    <row r="26" spans="1:9">
      <c r="A26" t="str">
        <v>25M</v>
      </c>
      <c r="B26" t="str">
        <f t="shared" si="0"/>
        <v>25</v>
      </c>
      <c r="C26" t="str">
        <f t="shared" si="1"/>
        <v>M</v>
      </c>
      <c r="D26" t="str">
        <f t="shared" si="2"/>
        <v>Male</v>
      </c>
      <c r="E26" t="str">
        <f t="shared" si="3"/>
        <v>Contact 25 (Male)</v>
      </c>
      <c r="F26" t="str">
        <f t="shared" si="4"/>
        <v>25M</v>
      </c>
      <c r="G26">
        <f t="shared" si="5"/>
        <v>3</v>
      </c>
      <c r="H26" t="str" cm="1">
        <f t="array" ref="H26">_xlfn.IFS(_xlfn.XLOOKUP(A26,excel_project[Contact_ID],excel_project[Total Messages])&gt;=600,"Very High",_xlfn.XLOOKUP(A26,excel_project[Contact_ID],excel_project[Total Messages])&gt;=300,"High",_xlfn.XLOOKUP(A26,excel_project[Contact_ID],excel_project[Total Messages])&gt;=100,"Medium",TRUE,"Low")</f>
        <v>Low</v>
      </c>
      <c r="I26" t="str" cm="1">
        <f t="array" ref="I26">_xlfn.IFS(AND(_xlfn.XLOOKUP(A26,excel_project[Contact_ID],excel_project[Voice Note Sent])&gt;0,_xlfn.XLOOKUP(A26,excel_project[Contact_ID],excel_project[Call Sent])&gt;0),"Multi-Channel",_xlfn.XLOOKUP(A26,excel_project[Contact_ID],excel_project[Call Sent])&gt;0,"Caller",_xlfn.XLOOKUP(A26,excel_project[Contact_ID],excel_project[Voice Note Sent])&gt;0,"Voice Note User",TRUE,"Text Only")</f>
        <v>Text Only</v>
      </c>
    </row>
    <row r="27" spans="1:9">
      <c r="A27" t="str">
        <v>26M</v>
      </c>
      <c r="B27" t="str">
        <f t="shared" si="0"/>
        <v>26</v>
      </c>
      <c r="C27" t="str">
        <f t="shared" si="1"/>
        <v>M</v>
      </c>
      <c r="D27" t="str">
        <f t="shared" si="2"/>
        <v>Male</v>
      </c>
      <c r="E27" t="str">
        <f t="shared" si="3"/>
        <v>Contact 26 (Male)</v>
      </c>
      <c r="F27" t="str">
        <f t="shared" si="4"/>
        <v>26M</v>
      </c>
      <c r="G27">
        <f t="shared" si="5"/>
        <v>3</v>
      </c>
      <c r="H27" t="str" cm="1">
        <f t="array" ref="H27">_xlfn.IFS(_xlfn.XLOOKUP(A27,excel_project[Contact_ID],excel_project[Total Messages])&gt;=600,"Very High",_xlfn.XLOOKUP(A27,excel_project[Contact_ID],excel_project[Total Messages])&gt;=300,"High",_xlfn.XLOOKUP(A27,excel_project[Contact_ID],excel_project[Total Messages])&gt;=100,"Medium",TRUE,"Low")</f>
        <v>Low</v>
      </c>
      <c r="I27" t="str" cm="1">
        <f t="array" ref="I27">_xlfn.IFS(AND(_xlfn.XLOOKUP(A27,excel_project[Contact_ID],excel_project[Voice Note Sent])&gt;0,_xlfn.XLOOKUP(A27,excel_project[Contact_ID],excel_project[Call Sent])&gt;0),"Multi-Channel",_xlfn.XLOOKUP(A27,excel_project[Contact_ID],excel_project[Call Sent])&gt;0,"Caller",_xlfn.XLOOKUP(A27,excel_project[Contact_ID],excel_project[Voice Note Sent])&gt;0,"Voice Note User",TRUE,"Text Only")</f>
        <v>Text Only</v>
      </c>
    </row>
    <row r="28" spans="1:9">
      <c r="A28" t="str">
        <v>27M</v>
      </c>
      <c r="B28" t="str">
        <f t="shared" si="0"/>
        <v>27</v>
      </c>
      <c r="C28" t="str">
        <f t="shared" si="1"/>
        <v>M</v>
      </c>
      <c r="D28" t="str">
        <f t="shared" si="2"/>
        <v>Male</v>
      </c>
      <c r="E28" t="str">
        <f t="shared" si="3"/>
        <v>Contact 27 (Male)</v>
      </c>
      <c r="F28" t="str">
        <f t="shared" si="4"/>
        <v>27M</v>
      </c>
      <c r="G28">
        <f t="shared" si="5"/>
        <v>3</v>
      </c>
      <c r="H28" t="str" cm="1">
        <f t="array" ref="H28">_xlfn.IFS(_xlfn.XLOOKUP(A28,excel_project[Contact_ID],excel_project[Total Messages])&gt;=600,"Very High",_xlfn.XLOOKUP(A28,excel_project[Contact_ID],excel_project[Total Messages])&gt;=300,"High",_xlfn.XLOOKUP(A28,excel_project[Contact_ID],excel_project[Total Messages])&gt;=100,"Medium",TRUE,"Low")</f>
        <v>Medium</v>
      </c>
      <c r="I28" t="str" cm="1">
        <f t="array" ref="I28">_xlfn.IFS(AND(_xlfn.XLOOKUP(A28,excel_project[Contact_ID],excel_project[Voice Note Sent])&gt;0,_xlfn.XLOOKUP(A28,excel_project[Contact_ID],excel_project[Call Sent])&gt;0),"Multi-Channel",_xlfn.XLOOKUP(A28,excel_project[Contact_ID],excel_project[Call Sent])&gt;0,"Caller",_xlfn.XLOOKUP(A28,excel_project[Contact_ID],excel_project[Voice Note Sent])&gt;0,"Voice Note User",TRUE,"Text Only")</f>
        <v>Text Only</v>
      </c>
    </row>
    <row r="29" spans="1:9">
      <c r="A29" t="str">
        <v>28M</v>
      </c>
      <c r="B29" t="str">
        <f t="shared" si="0"/>
        <v>28</v>
      </c>
      <c r="C29" t="str">
        <f t="shared" si="1"/>
        <v>M</v>
      </c>
      <c r="D29" t="str">
        <f t="shared" si="2"/>
        <v>Male</v>
      </c>
      <c r="E29" t="str">
        <f t="shared" si="3"/>
        <v>Contact 28 (Male)</v>
      </c>
      <c r="F29" t="str">
        <f t="shared" si="4"/>
        <v>28M</v>
      </c>
      <c r="G29">
        <f t="shared" si="5"/>
        <v>3</v>
      </c>
      <c r="H29" t="str" cm="1">
        <f t="array" ref="H29">_xlfn.IFS(_xlfn.XLOOKUP(A29,excel_project[Contact_ID],excel_project[Total Messages])&gt;=600,"Very High",_xlfn.XLOOKUP(A29,excel_project[Contact_ID],excel_project[Total Messages])&gt;=300,"High",_xlfn.XLOOKUP(A29,excel_project[Contact_ID],excel_project[Total Messages])&gt;=100,"Medium",TRUE,"Low")</f>
        <v>Low</v>
      </c>
      <c r="I29" t="str" cm="1">
        <f t="array" ref="I29">_xlfn.IFS(AND(_xlfn.XLOOKUP(A29,excel_project[Contact_ID],excel_project[Voice Note Sent])&gt;0,_xlfn.XLOOKUP(A29,excel_project[Contact_ID],excel_project[Call Sent])&gt;0),"Multi-Channel",_xlfn.XLOOKUP(A29,excel_project[Contact_ID],excel_project[Call Sent])&gt;0,"Caller",_xlfn.XLOOKUP(A29,excel_project[Contact_ID],excel_project[Voice Note Sent])&gt;0,"Voice Note User",TRUE,"Text Only")</f>
        <v>Text Only</v>
      </c>
    </row>
    <row r="30" spans="1:9">
      <c r="A30" t="str">
        <v>29M</v>
      </c>
      <c r="B30" t="str">
        <f t="shared" si="0"/>
        <v>29</v>
      </c>
      <c r="C30" t="str">
        <f t="shared" si="1"/>
        <v>M</v>
      </c>
      <c r="D30" t="str">
        <f t="shared" si="2"/>
        <v>Male</v>
      </c>
      <c r="E30" t="str">
        <f t="shared" si="3"/>
        <v>Contact 29 (Male)</v>
      </c>
      <c r="F30" t="str">
        <f t="shared" si="4"/>
        <v>29M</v>
      </c>
      <c r="G30">
        <f t="shared" si="5"/>
        <v>3</v>
      </c>
      <c r="H30" t="str" cm="1">
        <f t="array" ref="H30">_xlfn.IFS(_xlfn.XLOOKUP(A30,excel_project[Contact_ID],excel_project[Total Messages])&gt;=600,"Very High",_xlfn.XLOOKUP(A30,excel_project[Contact_ID],excel_project[Total Messages])&gt;=300,"High",_xlfn.XLOOKUP(A30,excel_project[Contact_ID],excel_project[Total Messages])&gt;=100,"Medium",TRUE,"Low")</f>
        <v>Low</v>
      </c>
      <c r="I30" t="str" cm="1">
        <f t="array" ref="I30">_xlfn.IFS(AND(_xlfn.XLOOKUP(A30,excel_project[Contact_ID],excel_project[Voice Note Sent])&gt;0,_xlfn.XLOOKUP(A30,excel_project[Contact_ID],excel_project[Call Sent])&gt;0),"Multi-Channel",_xlfn.XLOOKUP(A30,excel_project[Contact_ID],excel_project[Call Sent])&gt;0,"Caller",_xlfn.XLOOKUP(A30,excel_project[Contact_ID],excel_project[Voice Note Sent])&gt;0,"Voice Note User",TRUE,"Text Only")</f>
        <v>Text Only</v>
      </c>
    </row>
    <row r="31" spans="1:9">
      <c r="A31" t="str">
        <v>30M</v>
      </c>
      <c r="B31" t="str">
        <f t="shared" si="0"/>
        <v>30</v>
      </c>
      <c r="C31" t="str">
        <f t="shared" si="1"/>
        <v>M</v>
      </c>
      <c r="D31" t="str">
        <f t="shared" si="2"/>
        <v>Male</v>
      </c>
      <c r="E31" t="str">
        <f t="shared" si="3"/>
        <v>Contact 30 (Male)</v>
      </c>
      <c r="F31" t="str">
        <f t="shared" si="4"/>
        <v>30M</v>
      </c>
      <c r="G31">
        <f t="shared" si="5"/>
        <v>3</v>
      </c>
      <c r="H31" t="str" cm="1">
        <f t="array" ref="H31">_xlfn.IFS(_xlfn.XLOOKUP(A31,excel_project[Contact_ID],excel_project[Total Messages])&gt;=600,"Very High",_xlfn.XLOOKUP(A31,excel_project[Contact_ID],excel_project[Total Messages])&gt;=300,"High",_xlfn.XLOOKUP(A31,excel_project[Contact_ID],excel_project[Total Messages])&gt;=100,"Medium",TRUE,"Low")</f>
        <v>Low</v>
      </c>
      <c r="I31" t="str" cm="1">
        <f t="array" ref="I31">_xlfn.IFS(AND(_xlfn.XLOOKUP(A31,excel_project[Contact_ID],excel_project[Voice Note Sent])&gt;0,_xlfn.XLOOKUP(A31,excel_project[Contact_ID],excel_project[Call Sent])&gt;0),"Multi-Channel",_xlfn.XLOOKUP(A31,excel_project[Contact_ID],excel_project[Call Sent])&gt;0,"Caller",_xlfn.XLOOKUP(A31,excel_project[Contact_ID],excel_project[Voice Note Sent])&gt;0,"Voice Note User",TRUE,"Text Only")</f>
        <v>Text Only</v>
      </c>
    </row>
    <row r="32" spans="1:9">
      <c r="A32" t="str">
        <v>31M</v>
      </c>
      <c r="B32" t="str">
        <f t="shared" si="0"/>
        <v>31</v>
      </c>
      <c r="C32" t="str">
        <f t="shared" si="1"/>
        <v>M</v>
      </c>
      <c r="D32" t="str">
        <f t="shared" si="2"/>
        <v>Male</v>
      </c>
      <c r="E32" t="str">
        <f t="shared" si="3"/>
        <v>Contact 31 (Male)</v>
      </c>
      <c r="F32" t="str">
        <f t="shared" si="4"/>
        <v>31M</v>
      </c>
      <c r="G32">
        <f t="shared" si="5"/>
        <v>3</v>
      </c>
      <c r="H32" t="str" cm="1">
        <f t="array" ref="H32">_xlfn.IFS(_xlfn.XLOOKUP(A32,excel_project[Contact_ID],excel_project[Total Messages])&gt;=600,"Very High",_xlfn.XLOOKUP(A32,excel_project[Contact_ID],excel_project[Total Messages])&gt;=300,"High",_xlfn.XLOOKUP(A32,excel_project[Contact_ID],excel_project[Total Messages])&gt;=100,"Medium",TRUE,"Low")</f>
        <v>Low</v>
      </c>
      <c r="I32" t="str" cm="1">
        <f t="array" ref="I32">_xlfn.IFS(AND(_xlfn.XLOOKUP(A32,excel_project[Contact_ID],excel_project[Voice Note Sent])&gt;0,_xlfn.XLOOKUP(A32,excel_project[Contact_ID],excel_project[Call Sent])&gt;0),"Multi-Channel",_xlfn.XLOOKUP(A32,excel_project[Contact_ID],excel_project[Call Sent])&gt;0,"Caller",_xlfn.XLOOKUP(A32,excel_project[Contact_ID],excel_project[Voice Note Sent])&gt;0,"Voice Note User",TRUE,"Text Only")</f>
        <v>Text Only</v>
      </c>
    </row>
    <row r="33" spans="1:9">
      <c r="A33" t="str">
        <v>32M</v>
      </c>
      <c r="B33" t="str">
        <f t="shared" si="0"/>
        <v>32</v>
      </c>
      <c r="C33" t="str">
        <f t="shared" si="1"/>
        <v>M</v>
      </c>
      <c r="D33" t="str">
        <f t="shared" si="2"/>
        <v>Male</v>
      </c>
      <c r="E33" t="str">
        <f t="shared" si="3"/>
        <v>Contact 32 (Male)</v>
      </c>
      <c r="F33" t="str">
        <f t="shared" si="4"/>
        <v>32M</v>
      </c>
      <c r="G33">
        <f t="shared" si="5"/>
        <v>3</v>
      </c>
      <c r="H33" t="str" cm="1">
        <f t="array" ref="H33">_xlfn.IFS(_xlfn.XLOOKUP(A33,excel_project[Contact_ID],excel_project[Total Messages])&gt;=600,"Very High",_xlfn.XLOOKUP(A33,excel_project[Contact_ID],excel_project[Total Messages])&gt;=300,"High",_xlfn.XLOOKUP(A33,excel_project[Contact_ID],excel_project[Total Messages])&gt;=100,"Medium",TRUE,"Low")</f>
        <v>Low</v>
      </c>
      <c r="I33" t="str" cm="1">
        <f t="array" ref="I33">_xlfn.IFS(AND(_xlfn.XLOOKUP(A33,excel_project[Contact_ID],excel_project[Voice Note Sent])&gt;0,_xlfn.XLOOKUP(A33,excel_project[Contact_ID],excel_project[Call Sent])&gt;0),"Multi-Channel",_xlfn.XLOOKUP(A33,excel_project[Contact_ID],excel_project[Call Sent])&gt;0,"Caller",_xlfn.XLOOKUP(A33,excel_project[Contact_ID],excel_project[Voice Note Sent])&gt;0,"Voice Note User",TRUE,"Text Only")</f>
        <v>Text Only</v>
      </c>
    </row>
    <row r="34" spans="1:9">
      <c r="A34" t="str">
        <v>33M</v>
      </c>
      <c r="B34" t="str">
        <f t="shared" si="0"/>
        <v>33</v>
      </c>
      <c r="C34" t="str">
        <f t="shared" si="1"/>
        <v>M</v>
      </c>
      <c r="D34" t="str">
        <f t="shared" si="2"/>
        <v>Male</v>
      </c>
      <c r="E34" t="str">
        <f t="shared" si="3"/>
        <v>Contact 33 (Male)</v>
      </c>
      <c r="F34" t="str">
        <f t="shared" si="4"/>
        <v>33M</v>
      </c>
      <c r="G34">
        <f t="shared" si="5"/>
        <v>3</v>
      </c>
      <c r="H34" t="str" cm="1">
        <f t="array" ref="H34">_xlfn.IFS(_xlfn.XLOOKUP(A34,excel_project[Contact_ID],excel_project[Total Messages])&gt;=600,"Very High",_xlfn.XLOOKUP(A34,excel_project[Contact_ID],excel_project[Total Messages])&gt;=300,"High",_xlfn.XLOOKUP(A34,excel_project[Contact_ID],excel_project[Total Messages])&gt;=100,"Medium",TRUE,"Low")</f>
        <v>Low</v>
      </c>
      <c r="I34" t="str" cm="1">
        <f t="array" ref="I34">_xlfn.IFS(AND(_xlfn.XLOOKUP(A34,excel_project[Contact_ID],excel_project[Voice Note Sent])&gt;0,_xlfn.XLOOKUP(A34,excel_project[Contact_ID],excel_project[Call Sent])&gt;0),"Multi-Channel",_xlfn.XLOOKUP(A34,excel_project[Contact_ID],excel_project[Call Sent])&gt;0,"Caller",_xlfn.XLOOKUP(A34,excel_project[Contact_ID],excel_project[Voice Note Sent])&gt;0,"Voice Note User",TRUE,"Text Only")</f>
        <v>Text Only</v>
      </c>
    </row>
    <row r="35" spans="1:9">
      <c r="A35" t="str">
        <v>34M</v>
      </c>
      <c r="B35" t="str">
        <f t="shared" si="0"/>
        <v>34</v>
      </c>
      <c r="C35" t="str">
        <f t="shared" si="1"/>
        <v>M</v>
      </c>
      <c r="D35" t="str">
        <f t="shared" si="2"/>
        <v>Male</v>
      </c>
      <c r="E35" t="str">
        <f t="shared" si="3"/>
        <v>Contact 34 (Male)</v>
      </c>
      <c r="F35" t="str">
        <f t="shared" si="4"/>
        <v>34M</v>
      </c>
      <c r="G35">
        <f t="shared" si="5"/>
        <v>3</v>
      </c>
      <c r="H35" t="str" cm="1">
        <f t="array" ref="H35">_xlfn.IFS(_xlfn.XLOOKUP(A35,excel_project[Contact_ID],excel_project[Total Messages])&gt;=600,"Very High",_xlfn.XLOOKUP(A35,excel_project[Contact_ID],excel_project[Total Messages])&gt;=300,"High",_xlfn.XLOOKUP(A35,excel_project[Contact_ID],excel_project[Total Messages])&gt;=100,"Medium",TRUE,"Low")</f>
        <v>Low</v>
      </c>
      <c r="I35" t="str" cm="1">
        <f t="array" ref="I35">_xlfn.IFS(AND(_xlfn.XLOOKUP(A35,excel_project[Contact_ID],excel_project[Voice Note Sent])&gt;0,_xlfn.XLOOKUP(A35,excel_project[Contact_ID],excel_project[Call Sent])&gt;0),"Multi-Channel",_xlfn.XLOOKUP(A35,excel_project[Contact_ID],excel_project[Call Sent])&gt;0,"Caller",_xlfn.XLOOKUP(A35,excel_project[Contact_ID],excel_project[Voice Note Sent])&gt;0,"Voice Note User",TRUE,"Text Only")</f>
        <v>Text Only</v>
      </c>
    </row>
    <row r="36" spans="1:9">
      <c r="A36" t="str">
        <v>35M</v>
      </c>
      <c r="B36" t="str">
        <f t="shared" si="0"/>
        <v>35</v>
      </c>
      <c r="C36" t="str">
        <f t="shared" si="1"/>
        <v>M</v>
      </c>
      <c r="D36" t="str">
        <f t="shared" si="2"/>
        <v>Male</v>
      </c>
      <c r="E36" t="str">
        <f t="shared" si="3"/>
        <v>Contact 35 (Male)</v>
      </c>
      <c r="F36" t="str">
        <f t="shared" si="4"/>
        <v>35M</v>
      </c>
      <c r="G36">
        <f t="shared" si="5"/>
        <v>3</v>
      </c>
      <c r="H36" t="str" cm="1">
        <f t="array" ref="H36">_xlfn.IFS(_xlfn.XLOOKUP(A36,excel_project[Contact_ID],excel_project[Total Messages])&gt;=600,"Very High",_xlfn.XLOOKUP(A36,excel_project[Contact_ID],excel_project[Total Messages])&gt;=300,"High",_xlfn.XLOOKUP(A36,excel_project[Contact_ID],excel_project[Total Messages])&gt;=100,"Medium",TRUE,"Low")</f>
        <v>Low</v>
      </c>
      <c r="I36" t="str" cm="1">
        <f t="array" ref="I36">_xlfn.IFS(AND(_xlfn.XLOOKUP(A36,excel_project[Contact_ID],excel_project[Voice Note Sent])&gt;0,_xlfn.XLOOKUP(A36,excel_project[Contact_ID],excel_project[Call Sent])&gt;0),"Multi-Channel",_xlfn.XLOOKUP(A36,excel_project[Contact_ID],excel_project[Call Sent])&gt;0,"Caller",_xlfn.XLOOKUP(A36,excel_project[Contact_ID],excel_project[Voice Note Sent])&gt;0,"Voice Note User",TRUE,"Text Only")</f>
        <v>Text Only</v>
      </c>
    </row>
    <row r="37" spans="1:9">
      <c r="A37" t="str">
        <v>36M</v>
      </c>
      <c r="B37" t="str">
        <f t="shared" si="0"/>
        <v>36</v>
      </c>
      <c r="C37" t="str">
        <f t="shared" si="1"/>
        <v>M</v>
      </c>
      <c r="D37" t="str">
        <f t="shared" si="2"/>
        <v>Male</v>
      </c>
      <c r="E37" t="str">
        <f t="shared" si="3"/>
        <v>Contact 36 (Male)</v>
      </c>
      <c r="F37" t="str">
        <f t="shared" si="4"/>
        <v>36M</v>
      </c>
      <c r="G37">
        <f t="shared" si="5"/>
        <v>3</v>
      </c>
      <c r="H37" t="str" cm="1">
        <f t="array" ref="H37">_xlfn.IFS(_xlfn.XLOOKUP(A37,excel_project[Contact_ID],excel_project[Total Messages])&gt;=600,"Very High",_xlfn.XLOOKUP(A37,excel_project[Contact_ID],excel_project[Total Messages])&gt;=300,"High",_xlfn.XLOOKUP(A37,excel_project[Contact_ID],excel_project[Total Messages])&gt;=100,"Medium",TRUE,"Low")</f>
        <v>Medium</v>
      </c>
      <c r="I37" t="str" cm="1">
        <f t="array" ref="I37">_xlfn.IFS(AND(_xlfn.XLOOKUP(A37,excel_project[Contact_ID],excel_project[Voice Note Sent])&gt;0,_xlfn.XLOOKUP(A37,excel_project[Contact_ID],excel_project[Call Sent])&gt;0),"Multi-Channel",_xlfn.XLOOKUP(A37,excel_project[Contact_ID],excel_project[Call Sent])&gt;0,"Caller",_xlfn.XLOOKUP(A37,excel_project[Contact_ID],excel_project[Voice Note Sent])&gt;0,"Voice Note User",TRUE,"Text Only")</f>
        <v>Text Only</v>
      </c>
    </row>
    <row r="38" spans="1:9">
      <c r="A38" t="str">
        <v>37M</v>
      </c>
      <c r="B38" t="str">
        <f t="shared" si="0"/>
        <v>37</v>
      </c>
      <c r="C38" t="str">
        <f t="shared" si="1"/>
        <v>M</v>
      </c>
      <c r="D38" t="str">
        <f t="shared" si="2"/>
        <v>Male</v>
      </c>
      <c r="E38" t="str">
        <f t="shared" si="3"/>
        <v>Contact 37 (Male)</v>
      </c>
      <c r="F38" t="str">
        <f t="shared" si="4"/>
        <v>37M</v>
      </c>
      <c r="G38">
        <f t="shared" si="5"/>
        <v>3</v>
      </c>
      <c r="H38" t="str" cm="1">
        <f t="array" ref="H38">_xlfn.IFS(_xlfn.XLOOKUP(A38,excel_project[Contact_ID],excel_project[Total Messages])&gt;=600,"Very High",_xlfn.XLOOKUP(A38,excel_project[Contact_ID],excel_project[Total Messages])&gt;=300,"High",_xlfn.XLOOKUP(A38,excel_project[Contact_ID],excel_project[Total Messages])&gt;=100,"Medium",TRUE,"Low")</f>
        <v>Medium</v>
      </c>
      <c r="I38" t="str" cm="1">
        <f t="array" ref="I38">_xlfn.IFS(AND(_xlfn.XLOOKUP(A38,excel_project[Contact_ID],excel_project[Voice Note Sent])&gt;0,_xlfn.XLOOKUP(A38,excel_project[Contact_ID],excel_project[Call Sent])&gt;0),"Multi-Channel",_xlfn.XLOOKUP(A38,excel_project[Contact_ID],excel_project[Call Sent])&gt;0,"Caller",_xlfn.XLOOKUP(A38,excel_project[Contact_ID],excel_project[Voice Note Sent])&gt;0,"Voice Note User",TRUE,"Text Only")</f>
        <v>Text Only</v>
      </c>
    </row>
    <row r="39" spans="1:9">
      <c r="A39" t="str">
        <v>38M</v>
      </c>
      <c r="B39" t="str">
        <f t="shared" si="0"/>
        <v>38</v>
      </c>
      <c r="C39" t="str">
        <f t="shared" si="1"/>
        <v>M</v>
      </c>
      <c r="D39" t="str">
        <f t="shared" si="2"/>
        <v>Male</v>
      </c>
      <c r="E39" t="str">
        <f t="shared" si="3"/>
        <v>Contact 38 (Male)</v>
      </c>
      <c r="F39" t="str">
        <f t="shared" si="4"/>
        <v>38M</v>
      </c>
      <c r="G39">
        <f t="shared" si="5"/>
        <v>3</v>
      </c>
      <c r="H39" t="str" cm="1">
        <f t="array" ref="H39">_xlfn.IFS(_xlfn.XLOOKUP(A39,excel_project[Contact_ID],excel_project[Total Messages])&gt;=600,"Very High",_xlfn.XLOOKUP(A39,excel_project[Contact_ID],excel_project[Total Messages])&gt;=300,"High",_xlfn.XLOOKUP(A39,excel_project[Contact_ID],excel_project[Total Messages])&gt;=100,"Medium",TRUE,"Low")</f>
        <v>Medium</v>
      </c>
      <c r="I39" t="str" cm="1">
        <f t="array" ref="I39">_xlfn.IFS(AND(_xlfn.XLOOKUP(A39,excel_project[Contact_ID],excel_project[Voice Note Sent])&gt;0,_xlfn.XLOOKUP(A39,excel_project[Contact_ID],excel_project[Call Sent])&gt;0),"Multi-Channel",_xlfn.XLOOKUP(A39,excel_project[Contact_ID],excel_project[Call Sent])&gt;0,"Caller",_xlfn.XLOOKUP(A39,excel_project[Contact_ID],excel_project[Voice Note Sent])&gt;0,"Voice Note User",TRUE,"Text Only")</f>
        <v>Multi-Channel</v>
      </c>
    </row>
    <row r="40" spans="1:9">
      <c r="A40" t="str">
        <v>39M</v>
      </c>
      <c r="B40" t="str">
        <f t="shared" si="0"/>
        <v>39</v>
      </c>
      <c r="C40" t="str">
        <f t="shared" si="1"/>
        <v>M</v>
      </c>
      <c r="D40" t="str">
        <f t="shared" si="2"/>
        <v>Male</v>
      </c>
      <c r="E40" t="str">
        <f t="shared" si="3"/>
        <v>Contact 39 (Male)</v>
      </c>
      <c r="F40" t="str">
        <f t="shared" si="4"/>
        <v>39M</v>
      </c>
      <c r="G40">
        <f t="shared" si="5"/>
        <v>3</v>
      </c>
      <c r="H40" t="str" cm="1">
        <f t="array" ref="H40">_xlfn.IFS(_xlfn.XLOOKUP(A40,excel_project[Contact_ID],excel_project[Total Messages])&gt;=600,"Very High",_xlfn.XLOOKUP(A40,excel_project[Contact_ID],excel_project[Total Messages])&gt;=300,"High",_xlfn.XLOOKUP(A40,excel_project[Contact_ID],excel_project[Total Messages])&gt;=100,"Medium",TRUE,"Low")</f>
        <v>Low</v>
      </c>
      <c r="I40" t="str" cm="1">
        <f t="array" ref="I40">_xlfn.IFS(AND(_xlfn.XLOOKUP(A40,excel_project[Contact_ID],excel_project[Voice Note Sent])&gt;0,_xlfn.XLOOKUP(A40,excel_project[Contact_ID],excel_project[Call Sent])&gt;0),"Multi-Channel",_xlfn.XLOOKUP(A40,excel_project[Contact_ID],excel_project[Call Sent])&gt;0,"Caller",_xlfn.XLOOKUP(A40,excel_project[Contact_ID],excel_project[Voice Note Sent])&gt;0,"Voice Note User",TRUE,"Text Only")</f>
        <v>Caller</v>
      </c>
    </row>
    <row r="41" spans="1:9">
      <c r="A41" t="str">
        <v>40M</v>
      </c>
      <c r="B41" t="str">
        <f t="shared" si="0"/>
        <v>40</v>
      </c>
      <c r="C41" t="str">
        <f t="shared" si="1"/>
        <v>M</v>
      </c>
      <c r="D41" t="str">
        <f t="shared" si="2"/>
        <v>Male</v>
      </c>
      <c r="E41" t="str">
        <f t="shared" si="3"/>
        <v>Contact 40 (Male)</v>
      </c>
      <c r="F41" t="str">
        <f t="shared" si="4"/>
        <v>40M</v>
      </c>
      <c r="G41">
        <f t="shared" si="5"/>
        <v>3</v>
      </c>
      <c r="H41" t="str" cm="1">
        <f t="array" ref="H41">_xlfn.IFS(_xlfn.XLOOKUP(A41,excel_project[Contact_ID],excel_project[Total Messages])&gt;=600,"Very High",_xlfn.XLOOKUP(A41,excel_project[Contact_ID],excel_project[Total Messages])&gt;=300,"High",_xlfn.XLOOKUP(A41,excel_project[Contact_ID],excel_project[Total Messages])&gt;=100,"Medium",TRUE,"Low")</f>
        <v>Medium</v>
      </c>
      <c r="I41" t="str" cm="1">
        <f t="array" ref="I41">_xlfn.IFS(AND(_xlfn.XLOOKUP(A41,excel_project[Contact_ID],excel_project[Voice Note Sent])&gt;0,_xlfn.XLOOKUP(A41,excel_project[Contact_ID],excel_project[Call Sent])&gt;0),"Multi-Channel",_xlfn.XLOOKUP(A41,excel_project[Contact_ID],excel_project[Call Sent])&gt;0,"Caller",_xlfn.XLOOKUP(A41,excel_project[Contact_ID],excel_project[Voice Note Sent])&gt;0,"Voice Note User",TRUE,"Text Only")</f>
        <v>Caller</v>
      </c>
    </row>
    <row r="42" spans="1:9">
      <c r="A42" t="str">
        <v>41F</v>
      </c>
      <c r="B42" t="str">
        <f t="shared" si="0"/>
        <v>41</v>
      </c>
      <c r="C42" t="str">
        <f t="shared" si="1"/>
        <v>F</v>
      </c>
      <c r="D42" t="str">
        <f t="shared" si="2"/>
        <v>Female</v>
      </c>
      <c r="E42" t="str">
        <f t="shared" si="3"/>
        <v>Contact 41 (Female)</v>
      </c>
      <c r="F42" t="str">
        <f t="shared" si="4"/>
        <v>41F</v>
      </c>
      <c r="G42">
        <f t="shared" si="5"/>
        <v>3</v>
      </c>
      <c r="H42" t="str" cm="1">
        <f t="array" ref="H42">_xlfn.IFS(_xlfn.XLOOKUP(A42,excel_project[Contact_ID],excel_project[Total Messages])&gt;=600,"Very High",_xlfn.XLOOKUP(A42,excel_project[Contact_ID],excel_project[Total Messages])&gt;=300,"High",_xlfn.XLOOKUP(A42,excel_project[Contact_ID],excel_project[Total Messages])&gt;=100,"Medium",TRUE,"Low")</f>
        <v>Low</v>
      </c>
      <c r="I42" t="str" cm="1">
        <f t="array" ref="I42">_xlfn.IFS(AND(_xlfn.XLOOKUP(A42,excel_project[Contact_ID],excel_project[Voice Note Sent])&gt;0,_xlfn.XLOOKUP(A42,excel_project[Contact_ID],excel_project[Call Sent])&gt;0),"Multi-Channel",_xlfn.XLOOKUP(A42,excel_project[Contact_ID],excel_project[Call Sent])&gt;0,"Caller",_xlfn.XLOOKUP(A42,excel_project[Contact_ID],excel_project[Voice Note Sent])&gt;0,"Voice Note User",TRUE,"Text Only")</f>
        <v>Multi-Channel</v>
      </c>
    </row>
    <row r="43" spans="1:9">
      <c r="A43" t="str">
        <v>42M</v>
      </c>
      <c r="B43" t="str">
        <f t="shared" si="0"/>
        <v>42</v>
      </c>
      <c r="C43" t="str">
        <f t="shared" si="1"/>
        <v>M</v>
      </c>
      <c r="D43" t="str">
        <f t="shared" si="2"/>
        <v>Male</v>
      </c>
      <c r="E43" t="str">
        <f t="shared" si="3"/>
        <v>Contact 42 (Male)</v>
      </c>
      <c r="F43" t="str">
        <f t="shared" si="4"/>
        <v>42M</v>
      </c>
      <c r="G43">
        <f t="shared" si="5"/>
        <v>3</v>
      </c>
      <c r="H43" t="str" cm="1">
        <f t="array" ref="H43">_xlfn.IFS(_xlfn.XLOOKUP(A43,excel_project[Contact_ID],excel_project[Total Messages])&gt;=600,"Very High",_xlfn.XLOOKUP(A43,excel_project[Contact_ID],excel_project[Total Messages])&gt;=300,"High",_xlfn.XLOOKUP(A43,excel_project[Contact_ID],excel_project[Total Messages])&gt;=100,"Medium",TRUE,"Low")</f>
        <v>Low</v>
      </c>
      <c r="I43" t="str" cm="1">
        <f t="array" ref="I43">_xlfn.IFS(AND(_xlfn.XLOOKUP(A43,excel_project[Contact_ID],excel_project[Voice Note Sent])&gt;0,_xlfn.XLOOKUP(A43,excel_project[Contact_ID],excel_project[Call Sent])&gt;0),"Multi-Channel",_xlfn.XLOOKUP(A43,excel_project[Contact_ID],excel_project[Call Sent])&gt;0,"Caller",_xlfn.XLOOKUP(A43,excel_project[Contact_ID],excel_project[Voice Note Sent])&gt;0,"Voice Note User",TRUE,"Text Only")</f>
        <v>Text Only</v>
      </c>
    </row>
    <row r="44" spans="1:9">
      <c r="A44" t="str">
        <v>43M</v>
      </c>
      <c r="B44" t="str">
        <f t="shared" si="0"/>
        <v>43</v>
      </c>
      <c r="C44" t="str">
        <f t="shared" si="1"/>
        <v>M</v>
      </c>
      <c r="D44" t="str">
        <f t="shared" si="2"/>
        <v>Male</v>
      </c>
      <c r="E44" t="str">
        <f t="shared" si="3"/>
        <v>Contact 43 (Male)</v>
      </c>
      <c r="F44" t="str">
        <f t="shared" si="4"/>
        <v>43M</v>
      </c>
      <c r="G44">
        <f t="shared" si="5"/>
        <v>3</v>
      </c>
      <c r="H44" t="str" cm="1">
        <f t="array" ref="H44">_xlfn.IFS(_xlfn.XLOOKUP(A44,excel_project[Contact_ID],excel_project[Total Messages])&gt;=600,"Very High",_xlfn.XLOOKUP(A44,excel_project[Contact_ID],excel_project[Total Messages])&gt;=300,"High",_xlfn.XLOOKUP(A44,excel_project[Contact_ID],excel_project[Total Messages])&gt;=100,"Medium",TRUE,"Low")</f>
        <v>Medium</v>
      </c>
      <c r="I44" t="str" cm="1">
        <f t="array" ref="I44">_xlfn.IFS(AND(_xlfn.XLOOKUP(A44,excel_project[Contact_ID],excel_project[Voice Note Sent])&gt;0,_xlfn.XLOOKUP(A44,excel_project[Contact_ID],excel_project[Call Sent])&gt;0),"Multi-Channel",_xlfn.XLOOKUP(A44,excel_project[Contact_ID],excel_project[Call Sent])&gt;0,"Caller",_xlfn.XLOOKUP(A44,excel_project[Contact_ID],excel_project[Voice Note Sent])&gt;0,"Voice Note User",TRUE,"Text Only")</f>
        <v>Voice Note User</v>
      </c>
    </row>
    <row r="45" spans="1:9">
      <c r="A45" t="str">
        <v>44M</v>
      </c>
      <c r="B45" t="str">
        <f t="shared" si="0"/>
        <v>44</v>
      </c>
      <c r="C45" t="str">
        <f t="shared" si="1"/>
        <v>M</v>
      </c>
      <c r="D45" t="str">
        <f t="shared" si="2"/>
        <v>Male</v>
      </c>
      <c r="E45" t="str">
        <f t="shared" si="3"/>
        <v>Contact 44 (Male)</v>
      </c>
      <c r="F45" t="str">
        <f t="shared" si="4"/>
        <v>44M</v>
      </c>
      <c r="G45">
        <f t="shared" si="5"/>
        <v>3</v>
      </c>
      <c r="H45" t="str" cm="1">
        <f t="array" ref="H45">_xlfn.IFS(_xlfn.XLOOKUP(A45,excel_project[Contact_ID],excel_project[Total Messages])&gt;=600,"Very High",_xlfn.XLOOKUP(A45,excel_project[Contact_ID],excel_project[Total Messages])&gt;=300,"High",_xlfn.XLOOKUP(A45,excel_project[Contact_ID],excel_project[Total Messages])&gt;=100,"Medium",TRUE,"Low")</f>
        <v>Low</v>
      </c>
      <c r="I45" t="str" cm="1">
        <f t="array" ref="I45">_xlfn.IFS(AND(_xlfn.XLOOKUP(A45,excel_project[Contact_ID],excel_project[Voice Note Sent])&gt;0,_xlfn.XLOOKUP(A45,excel_project[Contact_ID],excel_project[Call Sent])&gt;0),"Multi-Channel",_xlfn.XLOOKUP(A45,excel_project[Contact_ID],excel_project[Call Sent])&gt;0,"Caller",_xlfn.XLOOKUP(A45,excel_project[Contact_ID],excel_project[Voice Note Sent])&gt;0,"Voice Note User",TRUE,"Text Only")</f>
        <v>Text Only</v>
      </c>
    </row>
    <row r="46" spans="1:9">
      <c r="A46" t="str">
        <v>45M</v>
      </c>
      <c r="B46" t="str">
        <f t="shared" si="0"/>
        <v>45</v>
      </c>
      <c r="C46" t="str">
        <f t="shared" si="1"/>
        <v>M</v>
      </c>
      <c r="D46" t="str">
        <f t="shared" si="2"/>
        <v>Male</v>
      </c>
      <c r="E46" t="str">
        <f t="shared" si="3"/>
        <v>Contact 45 (Male)</v>
      </c>
      <c r="F46" t="str">
        <f t="shared" si="4"/>
        <v>45M</v>
      </c>
      <c r="G46">
        <f t="shared" si="5"/>
        <v>3</v>
      </c>
      <c r="H46" t="str" cm="1">
        <f t="array" ref="H46">_xlfn.IFS(_xlfn.XLOOKUP(A46,excel_project[Contact_ID],excel_project[Total Messages])&gt;=600,"Very High",_xlfn.XLOOKUP(A46,excel_project[Contact_ID],excel_project[Total Messages])&gt;=300,"High",_xlfn.XLOOKUP(A46,excel_project[Contact_ID],excel_project[Total Messages])&gt;=100,"Medium",TRUE,"Low")</f>
        <v>Low</v>
      </c>
      <c r="I46" t="str" cm="1">
        <f t="array" ref="I46">_xlfn.IFS(AND(_xlfn.XLOOKUP(A46,excel_project[Contact_ID],excel_project[Voice Note Sent])&gt;0,_xlfn.XLOOKUP(A46,excel_project[Contact_ID],excel_project[Call Sent])&gt;0),"Multi-Channel",_xlfn.XLOOKUP(A46,excel_project[Contact_ID],excel_project[Call Sent])&gt;0,"Caller",_xlfn.XLOOKUP(A46,excel_project[Contact_ID],excel_project[Voice Note Sent])&gt;0,"Voice Note User",TRUE,"Text Only")</f>
        <v>Text Only</v>
      </c>
    </row>
    <row r="47" spans="1:9">
      <c r="A47" t="str">
        <v>46M</v>
      </c>
      <c r="B47" t="str">
        <f t="shared" si="0"/>
        <v>46</v>
      </c>
      <c r="C47" t="str">
        <f t="shared" si="1"/>
        <v>M</v>
      </c>
      <c r="D47" t="str">
        <f t="shared" si="2"/>
        <v>Male</v>
      </c>
      <c r="E47" t="str">
        <f t="shared" si="3"/>
        <v>Contact 46 (Male)</v>
      </c>
      <c r="F47" t="str">
        <f t="shared" si="4"/>
        <v>46M</v>
      </c>
      <c r="G47">
        <f t="shared" si="5"/>
        <v>3</v>
      </c>
      <c r="H47" t="str" cm="1">
        <f t="array" ref="H47">_xlfn.IFS(_xlfn.XLOOKUP(A47,excel_project[Contact_ID],excel_project[Total Messages])&gt;=600,"Very High",_xlfn.XLOOKUP(A47,excel_project[Contact_ID],excel_project[Total Messages])&gt;=300,"High",_xlfn.XLOOKUP(A47,excel_project[Contact_ID],excel_project[Total Messages])&gt;=100,"Medium",TRUE,"Low")</f>
        <v>Medium</v>
      </c>
      <c r="I47" t="str" cm="1">
        <f t="array" ref="I47">_xlfn.IFS(AND(_xlfn.XLOOKUP(A47,excel_project[Contact_ID],excel_project[Voice Note Sent])&gt;0,_xlfn.XLOOKUP(A47,excel_project[Contact_ID],excel_project[Call Sent])&gt;0),"Multi-Channel",_xlfn.XLOOKUP(A47,excel_project[Contact_ID],excel_project[Call Sent])&gt;0,"Caller",_xlfn.XLOOKUP(A47,excel_project[Contact_ID],excel_project[Voice Note Sent])&gt;0,"Voice Note User",TRUE,"Text Only")</f>
        <v>Voice Note User</v>
      </c>
    </row>
    <row r="48" spans="1:9">
      <c r="A48" t="str">
        <v>47M</v>
      </c>
      <c r="B48" t="str">
        <f t="shared" si="0"/>
        <v>47</v>
      </c>
      <c r="C48" t="str">
        <f t="shared" si="1"/>
        <v>M</v>
      </c>
      <c r="D48" t="str">
        <f t="shared" si="2"/>
        <v>Male</v>
      </c>
      <c r="E48" t="str">
        <f t="shared" si="3"/>
        <v>Contact 47 (Male)</v>
      </c>
      <c r="F48" t="str">
        <f t="shared" si="4"/>
        <v>47M</v>
      </c>
      <c r="G48">
        <f t="shared" si="5"/>
        <v>3</v>
      </c>
      <c r="H48" t="str" cm="1">
        <f t="array" ref="H48">_xlfn.IFS(_xlfn.XLOOKUP(A48,excel_project[Contact_ID],excel_project[Total Messages])&gt;=600,"Very High",_xlfn.XLOOKUP(A48,excel_project[Contact_ID],excel_project[Total Messages])&gt;=300,"High",_xlfn.XLOOKUP(A48,excel_project[Contact_ID],excel_project[Total Messages])&gt;=100,"Medium",TRUE,"Low")</f>
        <v>Low</v>
      </c>
      <c r="I48" t="str" cm="1">
        <f t="array" ref="I48">_xlfn.IFS(AND(_xlfn.XLOOKUP(A48,excel_project[Contact_ID],excel_project[Voice Note Sent])&gt;0,_xlfn.XLOOKUP(A48,excel_project[Contact_ID],excel_project[Call Sent])&gt;0),"Multi-Channel",_xlfn.XLOOKUP(A48,excel_project[Contact_ID],excel_project[Call Sent])&gt;0,"Caller",_xlfn.XLOOKUP(A48,excel_project[Contact_ID],excel_project[Voice Note Sent])&gt;0,"Voice Note User",TRUE,"Text Only")</f>
        <v>Text Only</v>
      </c>
    </row>
    <row r="49" spans="1:9">
      <c r="A49" t="str">
        <v>48F</v>
      </c>
      <c r="B49" t="str">
        <f t="shared" si="0"/>
        <v>48</v>
      </c>
      <c r="C49" t="str">
        <f t="shared" si="1"/>
        <v>F</v>
      </c>
      <c r="D49" t="str">
        <f t="shared" si="2"/>
        <v>Female</v>
      </c>
      <c r="E49" t="str">
        <f t="shared" si="3"/>
        <v>Contact 48 (Female)</v>
      </c>
      <c r="F49" t="str">
        <f t="shared" si="4"/>
        <v>48F</v>
      </c>
      <c r="G49">
        <f t="shared" si="5"/>
        <v>3</v>
      </c>
      <c r="H49" t="str" cm="1">
        <f t="array" ref="H49">_xlfn.IFS(_xlfn.XLOOKUP(A49,excel_project[Contact_ID],excel_project[Total Messages])&gt;=600,"Very High",_xlfn.XLOOKUP(A49,excel_project[Contact_ID],excel_project[Total Messages])&gt;=300,"High",_xlfn.XLOOKUP(A49,excel_project[Contact_ID],excel_project[Total Messages])&gt;=100,"Medium",TRUE,"Low")</f>
        <v>Low</v>
      </c>
      <c r="I49" t="str" cm="1">
        <f t="array" ref="I49">_xlfn.IFS(AND(_xlfn.XLOOKUP(A49,excel_project[Contact_ID],excel_project[Voice Note Sent])&gt;0,_xlfn.XLOOKUP(A49,excel_project[Contact_ID],excel_project[Call Sent])&gt;0),"Multi-Channel",_xlfn.XLOOKUP(A49,excel_project[Contact_ID],excel_project[Call Sent])&gt;0,"Caller",_xlfn.XLOOKUP(A49,excel_project[Contact_ID],excel_project[Voice Note Sent])&gt;0,"Voice Note User",TRUE,"Text Only")</f>
        <v>Text Only</v>
      </c>
    </row>
    <row r="50" spans="1:9">
      <c r="A50" t="str">
        <v>49M</v>
      </c>
      <c r="B50" t="str">
        <f t="shared" si="0"/>
        <v>49</v>
      </c>
      <c r="C50" t="str">
        <f t="shared" si="1"/>
        <v>M</v>
      </c>
      <c r="D50" t="str">
        <f t="shared" si="2"/>
        <v>Male</v>
      </c>
      <c r="E50" t="str">
        <f t="shared" si="3"/>
        <v>Contact 49 (Male)</v>
      </c>
      <c r="F50" t="str">
        <f t="shared" si="4"/>
        <v>49M</v>
      </c>
      <c r="G50">
        <f t="shared" si="5"/>
        <v>3</v>
      </c>
      <c r="H50" t="str" cm="1">
        <f t="array" ref="H50">_xlfn.IFS(_xlfn.XLOOKUP(A50,excel_project[Contact_ID],excel_project[Total Messages])&gt;=600,"Very High",_xlfn.XLOOKUP(A50,excel_project[Contact_ID],excel_project[Total Messages])&gt;=300,"High",_xlfn.XLOOKUP(A50,excel_project[Contact_ID],excel_project[Total Messages])&gt;=100,"Medium",TRUE,"Low")</f>
        <v>Low</v>
      </c>
      <c r="I50" t="str" cm="1">
        <f t="array" ref="I50">_xlfn.IFS(AND(_xlfn.XLOOKUP(A50,excel_project[Contact_ID],excel_project[Voice Note Sent])&gt;0,_xlfn.XLOOKUP(A50,excel_project[Contact_ID],excel_project[Call Sent])&gt;0),"Multi-Channel",_xlfn.XLOOKUP(A50,excel_project[Contact_ID],excel_project[Call Sent])&gt;0,"Caller",_xlfn.XLOOKUP(A50,excel_project[Contact_ID],excel_project[Voice Note Sent])&gt;0,"Voice Note User",TRUE,"Text Only")</f>
        <v>Voice Note User</v>
      </c>
    </row>
    <row r="51" spans="1:9">
      <c r="A51" t="str">
        <v>50M</v>
      </c>
      <c r="B51" t="str">
        <f t="shared" si="0"/>
        <v>50</v>
      </c>
      <c r="C51" t="str">
        <f t="shared" si="1"/>
        <v>M</v>
      </c>
      <c r="D51" t="str">
        <f t="shared" si="2"/>
        <v>Male</v>
      </c>
      <c r="E51" t="str">
        <f t="shared" si="3"/>
        <v>Contact 50 (Male)</v>
      </c>
      <c r="F51" t="str">
        <f t="shared" si="4"/>
        <v>50M</v>
      </c>
      <c r="G51">
        <f t="shared" si="5"/>
        <v>3</v>
      </c>
      <c r="H51" t="str" cm="1">
        <f t="array" ref="H51">_xlfn.IFS(_xlfn.XLOOKUP(A51,excel_project[Contact_ID],excel_project[Total Messages])&gt;=600,"Very High",_xlfn.XLOOKUP(A51,excel_project[Contact_ID],excel_project[Total Messages])&gt;=300,"High",_xlfn.XLOOKUP(A51,excel_project[Contact_ID],excel_project[Total Messages])&gt;=100,"Medium",TRUE,"Low")</f>
        <v>Low</v>
      </c>
      <c r="I51" t="str" cm="1">
        <f t="array" ref="I51">_xlfn.IFS(AND(_xlfn.XLOOKUP(A51,excel_project[Contact_ID],excel_project[Voice Note Sent])&gt;0,_xlfn.XLOOKUP(A51,excel_project[Contact_ID],excel_project[Call Sent])&gt;0),"Multi-Channel",_xlfn.XLOOKUP(A51,excel_project[Contact_ID],excel_project[Call Sent])&gt;0,"Caller",_xlfn.XLOOKUP(A51,excel_project[Contact_ID],excel_project[Voice Note Sent])&gt;0,"Voice Note User",TRUE,"Text Only")</f>
        <v>Text Only</v>
      </c>
    </row>
    <row r="52" spans="1:9">
      <c r="A52" t="str">
        <v>51M</v>
      </c>
      <c r="B52" t="str">
        <f t="shared" si="0"/>
        <v>51</v>
      </c>
      <c r="C52" t="str">
        <f t="shared" si="1"/>
        <v>M</v>
      </c>
      <c r="D52" t="str">
        <f t="shared" si="2"/>
        <v>Male</v>
      </c>
      <c r="E52" t="str">
        <f t="shared" si="3"/>
        <v>Contact 51 (Male)</v>
      </c>
      <c r="F52" t="str">
        <f t="shared" si="4"/>
        <v>51M</v>
      </c>
      <c r="G52">
        <f t="shared" si="5"/>
        <v>3</v>
      </c>
      <c r="H52" t="str" cm="1">
        <f t="array" ref="H52">_xlfn.IFS(_xlfn.XLOOKUP(A52,excel_project[Contact_ID],excel_project[Total Messages])&gt;=600,"Very High",_xlfn.XLOOKUP(A52,excel_project[Contact_ID],excel_project[Total Messages])&gt;=300,"High",_xlfn.XLOOKUP(A52,excel_project[Contact_ID],excel_project[Total Messages])&gt;=100,"Medium",TRUE,"Low")</f>
        <v>Low</v>
      </c>
      <c r="I52" t="str" cm="1">
        <f t="array" ref="I52">_xlfn.IFS(AND(_xlfn.XLOOKUP(A52,excel_project[Contact_ID],excel_project[Voice Note Sent])&gt;0,_xlfn.XLOOKUP(A52,excel_project[Contact_ID],excel_project[Call Sent])&gt;0),"Multi-Channel",_xlfn.XLOOKUP(A52,excel_project[Contact_ID],excel_project[Call Sent])&gt;0,"Caller",_xlfn.XLOOKUP(A52,excel_project[Contact_ID],excel_project[Voice Note Sent])&gt;0,"Voice Note User",TRUE,"Text Only")</f>
        <v>Text Only</v>
      </c>
    </row>
    <row r="53" spans="1:9">
      <c r="A53" t="str">
        <v>52M</v>
      </c>
      <c r="B53" t="str">
        <f t="shared" si="0"/>
        <v>52</v>
      </c>
      <c r="C53" t="str">
        <f t="shared" si="1"/>
        <v>M</v>
      </c>
      <c r="D53" t="str">
        <f t="shared" si="2"/>
        <v>Male</v>
      </c>
      <c r="E53" t="str">
        <f t="shared" si="3"/>
        <v>Contact 52 (Male)</v>
      </c>
      <c r="F53" t="str">
        <f t="shared" si="4"/>
        <v>52M</v>
      </c>
      <c r="G53">
        <f t="shared" si="5"/>
        <v>3</v>
      </c>
      <c r="H53" t="str" cm="1">
        <f t="array" ref="H53">_xlfn.IFS(_xlfn.XLOOKUP(A53,excel_project[Contact_ID],excel_project[Total Messages])&gt;=600,"Very High",_xlfn.XLOOKUP(A53,excel_project[Contact_ID],excel_project[Total Messages])&gt;=300,"High",_xlfn.XLOOKUP(A53,excel_project[Contact_ID],excel_project[Total Messages])&gt;=100,"Medium",TRUE,"Low")</f>
        <v>Very High</v>
      </c>
      <c r="I53" t="str" cm="1">
        <f t="array" ref="I53">_xlfn.IFS(AND(_xlfn.XLOOKUP(A53,excel_project[Contact_ID],excel_project[Voice Note Sent])&gt;0,_xlfn.XLOOKUP(A53,excel_project[Contact_ID],excel_project[Call Sent])&gt;0),"Multi-Channel",_xlfn.XLOOKUP(A53,excel_project[Contact_ID],excel_project[Call Sent])&gt;0,"Caller",_xlfn.XLOOKUP(A53,excel_project[Contact_ID],excel_project[Voice Note Sent])&gt;0,"Voice Note User",TRUE,"Text Only")</f>
        <v>Voice Note User</v>
      </c>
    </row>
    <row r="54" spans="1:9">
      <c r="A54" t="str">
        <v>53M</v>
      </c>
      <c r="B54" t="str">
        <f t="shared" si="0"/>
        <v>53</v>
      </c>
      <c r="C54" t="str">
        <f t="shared" si="1"/>
        <v>M</v>
      </c>
      <c r="D54" t="str">
        <f t="shared" si="2"/>
        <v>Male</v>
      </c>
      <c r="E54" t="str">
        <f t="shared" si="3"/>
        <v>Contact 53 (Male)</v>
      </c>
      <c r="F54" t="str">
        <f t="shared" si="4"/>
        <v>53M</v>
      </c>
      <c r="G54">
        <f t="shared" si="5"/>
        <v>3</v>
      </c>
      <c r="H54" t="str" cm="1">
        <f t="array" ref="H54">_xlfn.IFS(_xlfn.XLOOKUP(A54,excel_project[Contact_ID],excel_project[Total Messages])&gt;=600,"Very High",_xlfn.XLOOKUP(A54,excel_project[Contact_ID],excel_project[Total Messages])&gt;=300,"High",_xlfn.XLOOKUP(A54,excel_project[Contact_ID],excel_project[Total Messages])&gt;=100,"Medium",TRUE,"Low")</f>
        <v>Low</v>
      </c>
      <c r="I54" t="str" cm="1">
        <f t="array" ref="I54">_xlfn.IFS(AND(_xlfn.XLOOKUP(A54,excel_project[Contact_ID],excel_project[Voice Note Sent])&gt;0,_xlfn.XLOOKUP(A54,excel_project[Contact_ID],excel_project[Call Sent])&gt;0),"Multi-Channel",_xlfn.XLOOKUP(A54,excel_project[Contact_ID],excel_project[Call Sent])&gt;0,"Caller",_xlfn.XLOOKUP(A54,excel_project[Contact_ID],excel_project[Voice Note Sent])&gt;0,"Voice Note User",TRUE,"Text Only")</f>
        <v>Text Only</v>
      </c>
    </row>
    <row r="55" spans="1:9">
      <c r="A55" t="str">
        <v>54M</v>
      </c>
      <c r="B55" t="str">
        <f t="shared" si="0"/>
        <v>54</v>
      </c>
      <c r="C55" t="str">
        <f t="shared" si="1"/>
        <v>M</v>
      </c>
      <c r="D55" t="str">
        <f t="shared" si="2"/>
        <v>Male</v>
      </c>
      <c r="E55" t="str">
        <f t="shared" si="3"/>
        <v>Contact 54 (Male)</v>
      </c>
      <c r="F55" t="str">
        <f t="shared" si="4"/>
        <v>54M</v>
      </c>
      <c r="G55">
        <f t="shared" si="5"/>
        <v>3</v>
      </c>
      <c r="H55" t="str" cm="1">
        <f t="array" ref="H55">_xlfn.IFS(_xlfn.XLOOKUP(A55,excel_project[Contact_ID],excel_project[Total Messages])&gt;=600,"Very High",_xlfn.XLOOKUP(A55,excel_project[Contact_ID],excel_project[Total Messages])&gt;=300,"High",_xlfn.XLOOKUP(A55,excel_project[Contact_ID],excel_project[Total Messages])&gt;=100,"Medium",TRUE,"Low")</f>
        <v>Low</v>
      </c>
      <c r="I55" t="str" cm="1">
        <f t="array" ref="I55">_xlfn.IFS(AND(_xlfn.XLOOKUP(A55,excel_project[Contact_ID],excel_project[Voice Note Sent])&gt;0,_xlfn.XLOOKUP(A55,excel_project[Contact_ID],excel_project[Call Sent])&gt;0),"Multi-Channel",_xlfn.XLOOKUP(A55,excel_project[Contact_ID],excel_project[Call Sent])&gt;0,"Caller",_xlfn.XLOOKUP(A55,excel_project[Contact_ID],excel_project[Voice Note Sent])&gt;0,"Voice Note User",TRUE,"Text Only")</f>
        <v>Text Only</v>
      </c>
    </row>
    <row r="56" spans="1:9">
      <c r="A56" t="str">
        <v>55M</v>
      </c>
      <c r="B56" t="str">
        <f t="shared" si="0"/>
        <v>55</v>
      </c>
      <c r="C56" t="str">
        <f t="shared" si="1"/>
        <v>M</v>
      </c>
      <c r="D56" t="str">
        <f t="shared" si="2"/>
        <v>Male</v>
      </c>
      <c r="E56" t="str">
        <f t="shared" si="3"/>
        <v>Contact 55 (Male)</v>
      </c>
      <c r="F56" t="str">
        <f t="shared" si="4"/>
        <v>55M</v>
      </c>
      <c r="G56">
        <f t="shared" si="5"/>
        <v>3</v>
      </c>
      <c r="H56" t="str" cm="1">
        <f t="array" ref="H56">_xlfn.IFS(_xlfn.XLOOKUP(A56,excel_project[Contact_ID],excel_project[Total Messages])&gt;=600,"Very High",_xlfn.XLOOKUP(A56,excel_project[Contact_ID],excel_project[Total Messages])&gt;=300,"High",_xlfn.XLOOKUP(A56,excel_project[Contact_ID],excel_project[Total Messages])&gt;=100,"Medium",TRUE,"Low")</f>
        <v>Low</v>
      </c>
      <c r="I56" t="str" cm="1">
        <f t="array" ref="I56">_xlfn.IFS(AND(_xlfn.XLOOKUP(A56,excel_project[Contact_ID],excel_project[Voice Note Sent])&gt;0,_xlfn.XLOOKUP(A56,excel_project[Contact_ID],excel_project[Call Sent])&gt;0),"Multi-Channel",_xlfn.XLOOKUP(A56,excel_project[Contact_ID],excel_project[Call Sent])&gt;0,"Caller",_xlfn.XLOOKUP(A56,excel_project[Contact_ID],excel_project[Voice Note Sent])&gt;0,"Voice Note User",TRUE,"Text Only")</f>
        <v>Caller</v>
      </c>
    </row>
    <row r="57" spans="1:9">
      <c r="A57" t="str">
        <v>56M</v>
      </c>
      <c r="B57" t="str">
        <f t="shared" si="0"/>
        <v>56</v>
      </c>
      <c r="C57" t="str">
        <f t="shared" si="1"/>
        <v>M</v>
      </c>
      <c r="D57" t="str">
        <f t="shared" si="2"/>
        <v>Male</v>
      </c>
      <c r="E57" t="str">
        <f t="shared" si="3"/>
        <v>Contact 56 (Male)</v>
      </c>
      <c r="F57" t="str">
        <f t="shared" si="4"/>
        <v>56M</v>
      </c>
      <c r="G57">
        <f t="shared" si="5"/>
        <v>3</v>
      </c>
      <c r="H57" t="str" cm="1">
        <f t="array" ref="H57">_xlfn.IFS(_xlfn.XLOOKUP(A57,excel_project[Contact_ID],excel_project[Total Messages])&gt;=600,"Very High",_xlfn.XLOOKUP(A57,excel_project[Contact_ID],excel_project[Total Messages])&gt;=300,"High",_xlfn.XLOOKUP(A57,excel_project[Contact_ID],excel_project[Total Messages])&gt;=100,"Medium",TRUE,"Low")</f>
        <v>Medium</v>
      </c>
      <c r="I57" t="str" cm="1">
        <f t="array" ref="I57">_xlfn.IFS(AND(_xlfn.XLOOKUP(A57,excel_project[Contact_ID],excel_project[Voice Note Sent])&gt;0,_xlfn.XLOOKUP(A57,excel_project[Contact_ID],excel_project[Call Sent])&gt;0),"Multi-Channel",_xlfn.XLOOKUP(A57,excel_project[Contact_ID],excel_project[Call Sent])&gt;0,"Caller",_xlfn.XLOOKUP(A57,excel_project[Contact_ID],excel_project[Voice Note Sent])&gt;0,"Voice Note User",TRUE,"Text Only")</f>
        <v>Voice Note User</v>
      </c>
    </row>
    <row r="58" spans="1:9">
      <c r="A58" t="str">
        <v>57M</v>
      </c>
      <c r="B58" t="str">
        <f t="shared" si="0"/>
        <v>57</v>
      </c>
      <c r="C58" t="str">
        <f t="shared" si="1"/>
        <v>M</v>
      </c>
      <c r="D58" t="str">
        <f t="shared" si="2"/>
        <v>Male</v>
      </c>
      <c r="E58" t="str">
        <f t="shared" si="3"/>
        <v>Contact 57 (Male)</v>
      </c>
      <c r="F58" t="str">
        <f t="shared" si="4"/>
        <v>57M</v>
      </c>
      <c r="G58">
        <f t="shared" si="5"/>
        <v>3</v>
      </c>
      <c r="H58" t="str" cm="1">
        <f t="array" ref="H58">_xlfn.IFS(_xlfn.XLOOKUP(A58,excel_project[Contact_ID],excel_project[Total Messages])&gt;=600,"Very High",_xlfn.XLOOKUP(A58,excel_project[Contact_ID],excel_project[Total Messages])&gt;=300,"High",_xlfn.XLOOKUP(A58,excel_project[Contact_ID],excel_project[Total Messages])&gt;=100,"Medium",TRUE,"Low")</f>
        <v>Low</v>
      </c>
      <c r="I58" t="str" cm="1">
        <f t="array" ref="I58">_xlfn.IFS(AND(_xlfn.XLOOKUP(A58,excel_project[Contact_ID],excel_project[Voice Note Sent])&gt;0,_xlfn.XLOOKUP(A58,excel_project[Contact_ID],excel_project[Call Sent])&gt;0),"Multi-Channel",_xlfn.XLOOKUP(A58,excel_project[Contact_ID],excel_project[Call Sent])&gt;0,"Caller",_xlfn.XLOOKUP(A58,excel_project[Contact_ID],excel_project[Voice Note Sent])&gt;0,"Voice Note User",TRUE,"Text Only")</f>
        <v>Text Only</v>
      </c>
    </row>
    <row r="59" spans="1:9">
      <c r="A59" t="str">
        <v>58F</v>
      </c>
      <c r="B59" t="str">
        <f t="shared" si="0"/>
        <v>58</v>
      </c>
      <c r="C59" t="str">
        <f t="shared" si="1"/>
        <v>F</v>
      </c>
      <c r="D59" t="str">
        <f t="shared" si="2"/>
        <v>Female</v>
      </c>
      <c r="E59" t="str">
        <f t="shared" si="3"/>
        <v>Contact 58 (Female)</v>
      </c>
      <c r="F59" t="str">
        <f t="shared" si="4"/>
        <v>58F</v>
      </c>
      <c r="G59">
        <f t="shared" si="5"/>
        <v>3</v>
      </c>
      <c r="H59" t="str" cm="1">
        <f t="array" ref="H59">_xlfn.IFS(_xlfn.XLOOKUP(A59,excel_project[Contact_ID],excel_project[Total Messages])&gt;=600,"Very High",_xlfn.XLOOKUP(A59,excel_project[Contact_ID],excel_project[Total Messages])&gt;=300,"High",_xlfn.XLOOKUP(A59,excel_project[Contact_ID],excel_project[Total Messages])&gt;=100,"Medium",TRUE,"Low")</f>
        <v>Low</v>
      </c>
      <c r="I59" t="str" cm="1">
        <f t="array" ref="I59">_xlfn.IFS(AND(_xlfn.XLOOKUP(A59,excel_project[Contact_ID],excel_project[Voice Note Sent])&gt;0,_xlfn.XLOOKUP(A59,excel_project[Contact_ID],excel_project[Call Sent])&gt;0),"Multi-Channel",_xlfn.XLOOKUP(A59,excel_project[Contact_ID],excel_project[Call Sent])&gt;0,"Caller",_xlfn.XLOOKUP(A59,excel_project[Contact_ID],excel_project[Voice Note Sent])&gt;0,"Voice Note User",TRUE,"Text Only")</f>
        <v>Text Only</v>
      </c>
    </row>
    <row r="60" spans="1:9">
      <c r="A60" t="str">
        <v>59F</v>
      </c>
      <c r="B60" t="str">
        <f t="shared" si="0"/>
        <v>59</v>
      </c>
      <c r="C60" t="str">
        <f t="shared" si="1"/>
        <v>F</v>
      </c>
      <c r="D60" t="str">
        <f t="shared" si="2"/>
        <v>Female</v>
      </c>
      <c r="E60" t="str">
        <f t="shared" si="3"/>
        <v>Contact 59 (Female)</v>
      </c>
      <c r="F60" t="str">
        <f t="shared" si="4"/>
        <v>59F</v>
      </c>
      <c r="G60">
        <f t="shared" si="5"/>
        <v>3</v>
      </c>
      <c r="H60" t="str" cm="1">
        <f t="array" ref="H60">_xlfn.IFS(_xlfn.XLOOKUP(A60,excel_project[Contact_ID],excel_project[Total Messages])&gt;=600,"Very High",_xlfn.XLOOKUP(A60,excel_project[Contact_ID],excel_project[Total Messages])&gt;=300,"High",_xlfn.XLOOKUP(A60,excel_project[Contact_ID],excel_project[Total Messages])&gt;=100,"Medium",TRUE,"Low")</f>
        <v>Low</v>
      </c>
      <c r="I60" t="str" cm="1">
        <f t="array" ref="I60">_xlfn.IFS(AND(_xlfn.XLOOKUP(A60,excel_project[Contact_ID],excel_project[Voice Note Sent])&gt;0,_xlfn.XLOOKUP(A60,excel_project[Contact_ID],excel_project[Call Sent])&gt;0),"Multi-Channel",_xlfn.XLOOKUP(A60,excel_project[Contact_ID],excel_project[Call Sent])&gt;0,"Caller",_xlfn.XLOOKUP(A60,excel_project[Contact_ID],excel_project[Voice Note Sent])&gt;0,"Voice Note User",TRUE,"Text Only")</f>
        <v>Voice Note User</v>
      </c>
    </row>
    <row r="61" spans="1:9">
      <c r="A61" t="str">
        <v>60M</v>
      </c>
      <c r="B61" t="str">
        <f t="shared" si="0"/>
        <v>60</v>
      </c>
      <c r="C61" t="str">
        <f t="shared" si="1"/>
        <v>M</v>
      </c>
      <c r="D61" t="str">
        <f t="shared" si="2"/>
        <v>Male</v>
      </c>
      <c r="E61" t="str">
        <f t="shared" si="3"/>
        <v>Contact 60 (Male)</v>
      </c>
      <c r="F61" t="str">
        <f t="shared" si="4"/>
        <v>60M</v>
      </c>
      <c r="G61">
        <f t="shared" si="5"/>
        <v>3</v>
      </c>
      <c r="H61" t="str" cm="1">
        <f t="array" ref="H61">_xlfn.IFS(_xlfn.XLOOKUP(A61,excel_project[Contact_ID],excel_project[Total Messages])&gt;=600,"Very High",_xlfn.XLOOKUP(A61,excel_project[Contact_ID],excel_project[Total Messages])&gt;=300,"High",_xlfn.XLOOKUP(A61,excel_project[Contact_ID],excel_project[Total Messages])&gt;=100,"Medium",TRUE,"Low")</f>
        <v>Low</v>
      </c>
      <c r="I61" t="str" cm="1">
        <f t="array" ref="I61">_xlfn.IFS(AND(_xlfn.XLOOKUP(A61,excel_project[Contact_ID],excel_project[Voice Note Sent])&gt;0,_xlfn.XLOOKUP(A61,excel_project[Contact_ID],excel_project[Call Sent])&gt;0),"Multi-Channel",_xlfn.XLOOKUP(A61,excel_project[Contact_ID],excel_project[Call Sent])&gt;0,"Caller",_xlfn.XLOOKUP(A61,excel_project[Contact_ID],excel_project[Voice Note Sent])&gt;0,"Voice Note User",TRUE,"Text Only")</f>
        <v>Text Only</v>
      </c>
    </row>
    <row r="62" spans="1:9">
      <c r="A62" t="str">
        <v>61M</v>
      </c>
      <c r="B62" t="str">
        <f t="shared" si="0"/>
        <v>61</v>
      </c>
      <c r="C62" t="str">
        <f t="shared" si="1"/>
        <v>M</v>
      </c>
      <c r="D62" t="str">
        <f t="shared" si="2"/>
        <v>Male</v>
      </c>
      <c r="E62" t="str">
        <f t="shared" si="3"/>
        <v>Contact 61 (Male)</v>
      </c>
      <c r="F62" t="str">
        <f t="shared" si="4"/>
        <v>61M</v>
      </c>
      <c r="G62">
        <f t="shared" si="5"/>
        <v>3</v>
      </c>
      <c r="H62" t="str" cm="1">
        <f t="array" ref="H62">_xlfn.IFS(_xlfn.XLOOKUP(A62,excel_project[Contact_ID],excel_project[Total Messages])&gt;=600,"Very High",_xlfn.XLOOKUP(A62,excel_project[Contact_ID],excel_project[Total Messages])&gt;=300,"High",_xlfn.XLOOKUP(A62,excel_project[Contact_ID],excel_project[Total Messages])&gt;=100,"Medium",TRUE,"Low")</f>
        <v>Low</v>
      </c>
      <c r="I62" t="str" cm="1">
        <f t="array" ref="I62">_xlfn.IFS(AND(_xlfn.XLOOKUP(A62,excel_project[Contact_ID],excel_project[Voice Note Sent])&gt;0,_xlfn.XLOOKUP(A62,excel_project[Contact_ID],excel_project[Call Sent])&gt;0),"Multi-Channel",_xlfn.XLOOKUP(A62,excel_project[Contact_ID],excel_project[Call Sent])&gt;0,"Caller",_xlfn.XLOOKUP(A62,excel_project[Contact_ID],excel_project[Voice Note Sent])&gt;0,"Voice Note User",TRUE,"Text Only")</f>
        <v>Text Only</v>
      </c>
    </row>
    <row r="63" spans="1:9">
      <c r="A63" t="str">
        <v>62M</v>
      </c>
      <c r="B63" t="str">
        <f t="shared" si="0"/>
        <v>62</v>
      </c>
      <c r="C63" t="str">
        <f t="shared" si="1"/>
        <v>M</v>
      </c>
      <c r="D63" t="str">
        <f t="shared" si="2"/>
        <v>Male</v>
      </c>
      <c r="E63" t="str">
        <f t="shared" si="3"/>
        <v>Contact 62 (Male)</v>
      </c>
      <c r="F63" t="str">
        <f t="shared" si="4"/>
        <v>62M</v>
      </c>
      <c r="G63">
        <f t="shared" si="5"/>
        <v>3</v>
      </c>
      <c r="H63" t="str" cm="1">
        <f t="array" ref="H63">_xlfn.IFS(_xlfn.XLOOKUP(A63,excel_project[Contact_ID],excel_project[Total Messages])&gt;=600,"Very High",_xlfn.XLOOKUP(A63,excel_project[Contact_ID],excel_project[Total Messages])&gt;=300,"High",_xlfn.XLOOKUP(A63,excel_project[Contact_ID],excel_project[Total Messages])&gt;=100,"Medium",TRUE,"Low")</f>
        <v>Low</v>
      </c>
      <c r="I63" t="str" cm="1">
        <f t="array" ref="I63">_xlfn.IFS(AND(_xlfn.XLOOKUP(A63,excel_project[Contact_ID],excel_project[Voice Note Sent])&gt;0,_xlfn.XLOOKUP(A63,excel_project[Contact_ID],excel_project[Call Sent])&gt;0),"Multi-Channel",_xlfn.XLOOKUP(A63,excel_project[Contact_ID],excel_project[Call Sent])&gt;0,"Caller",_xlfn.XLOOKUP(A63,excel_project[Contact_ID],excel_project[Voice Note Sent])&gt;0,"Voice Note User",TRUE,"Text Only")</f>
        <v>Text Only</v>
      </c>
    </row>
    <row r="64" spans="1:9">
      <c r="A64" t="str">
        <v>63M</v>
      </c>
      <c r="B64" t="str">
        <f t="shared" si="0"/>
        <v>63</v>
      </c>
      <c r="C64" t="str">
        <f t="shared" si="1"/>
        <v>M</v>
      </c>
      <c r="D64" t="str">
        <f t="shared" si="2"/>
        <v>Male</v>
      </c>
      <c r="E64" t="str">
        <f t="shared" si="3"/>
        <v>Contact 63 (Male)</v>
      </c>
      <c r="F64" t="str">
        <f t="shared" si="4"/>
        <v>63M</v>
      </c>
      <c r="G64">
        <f t="shared" si="5"/>
        <v>3</v>
      </c>
      <c r="H64" t="str" cm="1">
        <f t="array" ref="H64">_xlfn.IFS(_xlfn.XLOOKUP(A64,excel_project[Contact_ID],excel_project[Total Messages])&gt;=600,"Very High",_xlfn.XLOOKUP(A64,excel_project[Contact_ID],excel_project[Total Messages])&gt;=300,"High",_xlfn.XLOOKUP(A64,excel_project[Contact_ID],excel_project[Total Messages])&gt;=100,"Medium",TRUE,"Low")</f>
        <v>Low</v>
      </c>
      <c r="I64" t="str" cm="1">
        <f t="array" ref="I64">_xlfn.IFS(AND(_xlfn.XLOOKUP(A64,excel_project[Contact_ID],excel_project[Voice Note Sent])&gt;0,_xlfn.XLOOKUP(A64,excel_project[Contact_ID],excel_project[Call Sent])&gt;0),"Multi-Channel",_xlfn.XLOOKUP(A64,excel_project[Contact_ID],excel_project[Call Sent])&gt;0,"Caller",_xlfn.XLOOKUP(A64,excel_project[Contact_ID],excel_project[Voice Note Sent])&gt;0,"Voice Note User",TRUE,"Text Only")</f>
        <v>Text Only</v>
      </c>
    </row>
    <row r="65" spans="1:9">
      <c r="A65" t="str">
        <v>64M</v>
      </c>
      <c r="B65" t="str">
        <f t="shared" si="0"/>
        <v>64</v>
      </c>
      <c r="C65" t="str">
        <f t="shared" si="1"/>
        <v>M</v>
      </c>
      <c r="D65" t="str">
        <f t="shared" si="2"/>
        <v>Male</v>
      </c>
      <c r="E65" t="str">
        <f t="shared" si="3"/>
        <v>Contact 64 (Male)</v>
      </c>
      <c r="F65" t="str">
        <f t="shared" si="4"/>
        <v>64M</v>
      </c>
      <c r="G65">
        <f t="shared" si="5"/>
        <v>3</v>
      </c>
      <c r="H65" t="str" cm="1">
        <f t="array" ref="H65">_xlfn.IFS(_xlfn.XLOOKUP(A65,excel_project[Contact_ID],excel_project[Total Messages])&gt;=600,"Very High",_xlfn.XLOOKUP(A65,excel_project[Contact_ID],excel_project[Total Messages])&gt;=300,"High",_xlfn.XLOOKUP(A65,excel_project[Contact_ID],excel_project[Total Messages])&gt;=100,"Medium",TRUE,"Low")</f>
        <v>Low</v>
      </c>
      <c r="I65" t="str" cm="1">
        <f t="array" ref="I65">_xlfn.IFS(AND(_xlfn.XLOOKUP(A65,excel_project[Contact_ID],excel_project[Voice Note Sent])&gt;0,_xlfn.XLOOKUP(A65,excel_project[Contact_ID],excel_project[Call Sent])&gt;0),"Multi-Channel",_xlfn.XLOOKUP(A65,excel_project[Contact_ID],excel_project[Call Sent])&gt;0,"Caller",_xlfn.XLOOKUP(A65,excel_project[Contact_ID],excel_project[Voice Note Sent])&gt;0,"Voice Note User",TRUE,"Text Only")</f>
        <v>Caller</v>
      </c>
    </row>
    <row r="66" spans="1:9">
      <c r="A66" t="str">
        <v>65M</v>
      </c>
      <c r="B66" t="str">
        <f t="shared" si="0"/>
        <v>65</v>
      </c>
      <c r="C66" t="str">
        <f t="shared" si="1"/>
        <v>M</v>
      </c>
      <c r="D66" t="str">
        <f t="shared" si="2"/>
        <v>Male</v>
      </c>
      <c r="E66" t="str">
        <f t="shared" si="3"/>
        <v>Contact 65 (Male)</v>
      </c>
      <c r="F66" t="str">
        <f t="shared" si="4"/>
        <v>65M</v>
      </c>
      <c r="G66">
        <f t="shared" si="5"/>
        <v>3</v>
      </c>
      <c r="H66" t="str" cm="1">
        <f t="array" ref="H66">_xlfn.IFS(_xlfn.XLOOKUP(A66,excel_project[Contact_ID],excel_project[Total Messages])&gt;=600,"Very High",_xlfn.XLOOKUP(A66,excel_project[Contact_ID],excel_project[Total Messages])&gt;=300,"High",_xlfn.XLOOKUP(A66,excel_project[Contact_ID],excel_project[Total Messages])&gt;=100,"Medium",TRUE,"Low")</f>
        <v>Low</v>
      </c>
      <c r="I66" t="str" cm="1">
        <f t="array" ref="I66">_xlfn.IFS(AND(_xlfn.XLOOKUP(A66,excel_project[Contact_ID],excel_project[Voice Note Sent])&gt;0,_xlfn.XLOOKUP(A66,excel_project[Contact_ID],excel_project[Call Sent])&gt;0),"Multi-Channel",_xlfn.XLOOKUP(A66,excel_project[Contact_ID],excel_project[Call Sent])&gt;0,"Caller",_xlfn.XLOOKUP(A66,excel_project[Contact_ID],excel_project[Voice Note Sent])&gt;0,"Voice Note User",TRUE,"Text Only")</f>
        <v>Text Only</v>
      </c>
    </row>
    <row r="67" spans="1:9">
      <c r="A67" t="str">
        <v>66M</v>
      </c>
      <c r="B67" t="str">
        <f t="shared" ref="B67:B96" si="6">LEFT(A67, LEN(A67)-1)</f>
        <v>66</v>
      </c>
      <c r="C67" t="str">
        <f t="shared" ref="C67:C96" si="7">RIGHT(A67, 1)</f>
        <v>M</v>
      </c>
      <c r="D67" t="str">
        <f t="shared" ref="D67:D96" si="8">SUBSTITUTE(SUBSTITUTE(C67, "M", "Male"), "F", "Female")</f>
        <v>Male</v>
      </c>
      <c r="E67" t="str">
        <f t="shared" ref="E67:E96" si="9">_xlfn.TEXTJOIN(" ", TRUE, "Contact", B67, "("&amp;D67&amp;")")</f>
        <v>Contact 66 (Male)</v>
      </c>
      <c r="F67" t="str">
        <f t="shared" ref="F67:F96" si="10">TRIM(A67)</f>
        <v>66M</v>
      </c>
      <c r="G67">
        <f t="shared" ref="G67:G96" si="11">LEN(A67)</f>
        <v>3</v>
      </c>
      <c r="H67" t="str" cm="1">
        <f t="array" ref="H67">_xlfn.IFS(_xlfn.XLOOKUP(A67,excel_project[Contact_ID],excel_project[Total Messages])&gt;=600,"Very High",_xlfn.XLOOKUP(A67,excel_project[Contact_ID],excel_project[Total Messages])&gt;=300,"High",_xlfn.XLOOKUP(A67,excel_project[Contact_ID],excel_project[Total Messages])&gt;=100,"Medium",TRUE,"Low")</f>
        <v>Low</v>
      </c>
      <c r="I67" t="str" cm="1">
        <f t="array" ref="I67">_xlfn.IFS(AND(_xlfn.XLOOKUP(A67,excel_project[Contact_ID],excel_project[Voice Note Sent])&gt;0,_xlfn.XLOOKUP(A67,excel_project[Contact_ID],excel_project[Call Sent])&gt;0),"Multi-Channel",_xlfn.XLOOKUP(A67,excel_project[Contact_ID],excel_project[Call Sent])&gt;0,"Caller",_xlfn.XLOOKUP(A67,excel_project[Contact_ID],excel_project[Voice Note Sent])&gt;0,"Voice Note User",TRUE,"Text Only")</f>
        <v>Text Only</v>
      </c>
    </row>
    <row r="68" spans="1:9">
      <c r="A68" t="str">
        <v>67M</v>
      </c>
      <c r="B68" t="str">
        <f t="shared" si="6"/>
        <v>67</v>
      </c>
      <c r="C68" t="str">
        <f t="shared" si="7"/>
        <v>M</v>
      </c>
      <c r="D68" t="str">
        <f t="shared" si="8"/>
        <v>Male</v>
      </c>
      <c r="E68" t="str">
        <f t="shared" si="9"/>
        <v>Contact 67 (Male)</v>
      </c>
      <c r="F68" t="str">
        <f t="shared" si="10"/>
        <v>67M</v>
      </c>
      <c r="G68">
        <f t="shared" si="11"/>
        <v>3</v>
      </c>
      <c r="H68" t="str" cm="1">
        <f t="array" ref="H68">_xlfn.IFS(_xlfn.XLOOKUP(A68,excel_project[Contact_ID],excel_project[Total Messages])&gt;=600,"Very High",_xlfn.XLOOKUP(A68,excel_project[Contact_ID],excel_project[Total Messages])&gt;=300,"High",_xlfn.XLOOKUP(A68,excel_project[Contact_ID],excel_project[Total Messages])&gt;=100,"Medium",TRUE,"Low")</f>
        <v>Low</v>
      </c>
      <c r="I68" t="str" cm="1">
        <f t="array" ref="I68">_xlfn.IFS(AND(_xlfn.XLOOKUP(A68,excel_project[Contact_ID],excel_project[Voice Note Sent])&gt;0,_xlfn.XLOOKUP(A68,excel_project[Contact_ID],excel_project[Call Sent])&gt;0),"Multi-Channel",_xlfn.XLOOKUP(A68,excel_project[Contact_ID],excel_project[Call Sent])&gt;0,"Caller",_xlfn.XLOOKUP(A68,excel_project[Contact_ID],excel_project[Voice Note Sent])&gt;0,"Voice Note User",TRUE,"Text Only")</f>
        <v>Text Only</v>
      </c>
    </row>
    <row r="69" spans="1:9">
      <c r="A69" t="str">
        <v>68M</v>
      </c>
      <c r="B69" t="str">
        <f t="shared" si="6"/>
        <v>68</v>
      </c>
      <c r="C69" t="str">
        <f t="shared" si="7"/>
        <v>M</v>
      </c>
      <c r="D69" t="str">
        <f t="shared" si="8"/>
        <v>Male</v>
      </c>
      <c r="E69" t="str">
        <f t="shared" si="9"/>
        <v>Contact 68 (Male)</v>
      </c>
      <c r="F69" t="str">
        <f t="shared" si="10"/>
        <v>68M</v>
      </c>
      <c r="G69">
        <f t="shared" si="11"/>
        <v>3</v>
      </c>
      <c r="H69" t="str" cm="1">
        <f t="array" ref="H69">_xlfn.IFS(_xlfn.XLOOKUP(A69,excel_project[Contact_ID],excel_project[Total Messages])&gt;=600,"Very High",_xlfn.XLOOKUP(A69,excel_project[Contact_ID],excel_project[Total Messages])&gt;=300,"High",_xlfn.XLOOKUP(A69,excel_project[Contact_ID],excel_project[Total Messages])&gt;=100,"Medium",TRUE,"Low")</f>
        <v>Low</v>
      </c>
      <c r="I69" t="str" cm="1">
        <f t="array" ref="I69">_xlfn.IFS(AND(_xlfn.XLOOKUP(A69,excel_project[Contact_ID],excel_project[Voice Note Sent])&gt;0,_xlfn.XLOOKUP(A69,excel_project[Contact_ID],excel_project[Call Sent])&gt;0),"Multi-Channel",_xlfn.XLOOKUP(A69,excel_project[Contact_ID],excel_project[Call Sent])&gt;0,"Caller",_xlfn.XLOOKUP(A69,excel_project[Contact_ID],excel_project[Voice Note Sent])&gt;0,"Voice Note User",TRUE,"Text Only")</f>
        <v>Text Only</v>
      </c>
    </row>
    <row r="70" spans="1:9">
      <c r="A70" t="str">
        <v>69M</v>
      </c>
      <c r="B70" t="str">
        <f t="shared" si="6"/>
        <v>69</v>
      </c>
      <c r="C70" t="str">
        <f t="shared" si="7"/>
        <v>M</v>
      </c>
      <c r="D70" t="str">
        <f t="shared" si="8"/>
        <v>Male</v>
      </c>
      <c r="E70" t="str">
        <f t="shared" si="9"/>
        <v>Contact 69 (Male)</v>
      </c>
      <c r="F70" t="str">
        <f t="shared" si="10"/>
        <v>69M</v>
      </c>
      <c r="G70">
        <f t="shared" si="11"/>
        <v>3</v>
      </c>
      <c r="H70" t="str" cm="1">
        <f t="array" ref="H70">_xlfn.IFS(_xlfn.XLOOKUP(A70,excel_project[Contact_ID],excel_project[Total Messages])&gt;=600,"Very High",_xlfn.XLOOKUP(A70,excel_project[Contact_ID],excel_project[Total Messages])&gt;=300,"High",_xlfn.XLOOKUP(A70,excel_project[Contact_ID],excel_project[Total Messages])&gt;=100,"Medium",TRUE,"Low")</f>
        <v>Low</v>
      </c>
      <c r="I70" t="str" cm="1">
        <f t="array" ref="I70">_xlfn.IFS(AND(_xlfn.XLOOKUP(A70,excel_project[Contact_ID],excel_project[Voice Note Sent])&gt;0,_xlfn.XLOOKUP(A70,excel_project[Contact_ID],excel_project[Call Sent])&gt;0),"Multi-Channel",_xlfn.XLOOKUP(A70,excel_project[Contact_ID],excel_project[Call Sent])&gt;0,"Caller",_xlfn.XLOOKUP(A70,excel_project[Contact_ID],excel_project[Voice Note Sent])&gt;0,"Voice Note User",TRUE,"Text Only")</f>
        <v>Text Only</v>
      </c>
    </row>
    <row r="71" spans="1:9">
      <c r="A71" t="str">
        <v>70M</v>
      </c>
      <c r="B71" t="str">
        <f t="shared" si="6"/>
        <v>70</v>
      </c>
      <c r="C71" t="str">
        <f t="shared" si="7"/>
        <v>M</v>
      </c>
      <c r="D71" t="str">
        <f t="shared" si="8"/>
        <v>Male</v>
      </c>
      <c r="E71" t="str">
        <f t="shared" si="9"/>
        <v>Contact 70 (Male)</v>
      </c>
      <c r="F71" t="str">
        <f t="shared" si="10"/>
        <v>70M</v>
      </c>
      <c r="G71">
        <f t="shared" si="11"/>
        <v>3</v>
      </c>
      <c r="H71" t="str" cm="1">
        <f t="array" ref="H71">_xlfn.IFS(_xlfn.XLOOKUP(A71,excel_project[Contact_ID],excel_project[Total Messages])&gt;=600,"Very High",_xlfn.XLOOKUP(A71,excel_project[Contact_ID],excel_project[Total Messages])&gt;=300,"High",_xlfn.XLOOKUP(A71,excel_project[Contact_ID],excel_project[Total Messages])&gt;=100,"Medium",TRUE,"Low")</f>
        <v>Low</v>
      </c>
      <c r="I71" t="str" cm="1">
        <f t="array" ref="I71">_xlfn.IFS(AND(_xlfn.XLOOKUP(A71,excel_project[Contact_ID],excel_project[Voice Note Sent])&gt;0,_xlfn.XLOOKUP(A71,excel_project[Contact_ID],excel_project[Call Sent])&gt;0),"Multi-Channel",_xlfn.XLOOKUP(A71,excel_project[Contact_ID],excel_project[Call Sent])&gt;0,"Caller",_xlfn.XLOOKUP(A71,excel_project[Contact_ID],excel_project[Voice Note Sent])&gt;0,"Voice Note User",TRUE,"Text Only")</f>
        <v>Text Only</v>
      </c>
    </row>
    <row r="72" spans="1:9">
      <c r="A72" t="str">
        <v>71F</v>
      </c>
      <c r="B72" t="str">
        <f t="shared" si="6"/>
        <v>71</v>
      </c>
      <c r="C72" t="str">
        <f t="shared" si="7"/>
        <v>F</v>
      </c>
      <c r="D72" t="str">
        <f t="shared" si="8"/>
        <v>Female</v>
      </c>
      <c r="E72" t="str">
        <f t="shared" si="9"/>
        <v>Contact 71 (Female)</v>
      </c>
      <c r="F72" t="str">
        <f t="shared" si="10"/>
        <v>71F</v>
      </c>
      <c r="G72">
        <f t="shared" si="11"/>
        <v>3</v>
      </c>
      <c r="H72" t="str" cm="1">
        <f t="array" ref="H72">_xlfn.IFS(_xlfn.XLOOKUP(A72,excel_project[Contact_ID],excel_project[Total Messages])&gt;=600,"Very High",_xlfn.XLOOKUP(A72,excel_project[Contact_ID],excel_project[Total Messages])&gt;=300,"High",_xlfn.XLOOKUP(A72,excel_project[Contact_ID],excel_project[Total Messages])&gt;=100,"Medium",TRUE,"Low")</f>
        <v>Low</v>
      </c>
      <c r="I72" t="str" cm="1">
        <f t="array" ref="I72">_xlfn.IFS(AND(_xlfn.XLOOKUP(A72,excel_project[Contact_ID],excel_project[Voice Note Sent])&gt;0,_xlfn.XLOOKUP(A72,excel_project[Contact_ID],excel_project[Call Sent])&gt;0),"Multi-Channel",_xlfn.XLOOKUP(A72,excel_project[Contact_ID],excel_project[Call Sent])&gt;0,"Caller",_xlfn.XLOOKUP(A72,excel_project[Contact_ID],excel_project[Voice Note Sent])&gt;0,"Voice Note User",TRUE,"Text Only")</f>
        <v>Multi-Channel</v>
      </c>
    </row>
    <row r="73" spans="1:9">
      <c r="A73" t="str">
        <v>72F</v>
      </c>
      <c r="B73" t="str">
        <f t="shared" si="6"/>
        <v>72</v>
      </c>
      <c r="C73" t="str">
        <f t="shared" si="7"/>
        <v>F</v>
      </c>
      <c r="D73" t="str">
        <f t="shared" si="8"/>
        <v>Female</v>
      </c>
      <c r="E73" t="str">
        <f t="shared" si="9"/>
        <v>Contact 72 (Female)</v>
      </c>
      <c r="F73" t="str">
        <f t="shared" si="10"/>
        <v>72F</v>
      </c>
      <c r="G73">
        <f t="shared" si="11"/>
        <v>3</v>
      </c>
      <c r="H73" t="str" cm="1">
        <f t="array" ref="H73">_xlfn.IFS(_xlfn.XLOOKUP(A73,excel_project[Contact_ID],excel_project[Total Messages])&gt;=600,"Very High",_xlfn.XLOOKUP(A73,excel_project[Contact_ID],excel_project[Total Messages])&gt;=300,"High",_xlfn.XLOOKUP(A73,excel_project[Contact_ID],excel_project[Total Messages])&gt;=100,"Medium",TRUE,"Low")</f>
        <v>Low</v>
      </c>
      <c r="I73" t="str" cm="1">
        <f t="array" ref="I73">_xlfn.IFS(AND(_xlfn.XLOOKUP(A73,excel_project[Contact_ID],excel_project[Voice Note Sent])&gt;0,_xlfn.XLOOKUP(A73,excel_project[Contact_ID],excel_project[Call Sent])&gt;0),"Multi-Channel",_xlfn.XLOOKUP(A73,excel_project[Contact_ID],excel_project[Call Sent])&gt;0,"Caller",_xlfn.XLOOKUP(A73,excel_project[Contact_ID],excel_project[Voice Note Sent])&gt;0,"Voice Note User",TRUE,"Text Only")</f>
        <v>Multi-Channel</v>
      </c>
    </row>
    <row r="74" spans="1:9">
      <c r="A74" t="str">
        <v>73M</v>
      </c>
      <c r="B74" t="str">
        <f t="shared" si="6"/>
        <v>73</v>
      </c>
      <c r="C74" t="str">
        <f t="shared" si="7"/>
        <v>M</v>
      </c>
      <c r="D74" t="str">
        <f t="shared" si="8"/>
        <v>Male</v>
      </c>
      <c r="E74" t="str">
        <f t="shared" si="9"/>
        <v>Contact 73 (Male)</v>
      </c>
      <c r="F74" t="str">
        <f t="shared" si="10"/>
        <v>73M</v>
      </c>
      <c r="G74">
        <f t="shared" si="11"/>
        <v>3</v>
      </c>
      <c r="H74" t="str" cm="1">
        <f t="array" ref="H74">_xlfn.IFS(_xlfn.XLOOKUP(A74,excel_project[Contact_ID],excel_project[Total Messages])&gt;=600,"Very High",_xlfn.XLOOKUP(A74,excel_project[Contact_ID],excel_project[Total Messages])&gt;=300,"High",_xlfn.XLOOKUP(A74,excel_project[Contact_ID],excel_project[Total Messages])&gt;=100,"Medium",TRUE,"Low")</f>
        <v>Low</v>
      </c>
      <c r="I74" t="str" cm="1">
        <f t="array" ref="I74">_xlfn.IFS(AND(_xlfn.XLOOKUP(A74,excel_project[Contact_ID],excel_project[Voice Note Sent])&gt;0,_xlfn.XLOOKUP(A74,excel_project[Contact_ID],excel_project[Call Sent])&gt;0),"Multi-Channel",_xlfn.XLOOKUP(A74,excel_project[Contact_ID],excel_project[Call Sent])&gt;0,"Caller",_xlfn.XLOOKUP(A74,excel_project[Contact_ID],excel_project[Voice Note Sent])&gt;0,"Voice Note User",TRUE,"Text Only")</f>
        <v>Voice Note User</v>
      </c>
    </row>
    <row r="75" spans="1:9">
      <c r="A75" t="str">
        <v>74M</v>
      </c>
      <c r="B75" t="str">
        <f t="shared" si="6"/>
        <v>74</v>
      </c>
      <c r="C75" t="str">
        <f t="shared" si="7"/>
        <v>M</v>
      </c>
      <c r="D75" t="str">
        <f t="shared" si="8"/>
        <v>Male</v>
      </c>
      <c r="E75" t="str">
        <f t="shared" si="9"/>
        <v>Contact 74 (Male)</v>
      </c>
      <c r="F75" t="str">
        <f t="shared" si="10"/>
        <v>74M</v>
      </c>
      <c r="G75">
        <f t="shared" si="11"/>
        <v>3</v>
      </c>
      <c r="H75" t="str" cm="1">
        <f t="array" ref="H75">_xlfn.IFS(_xlfn.XLOOKUP(A75,excel_project[Contact_ID],excel_project[Total Messages])&gt;=600,"Very High",_xlfn.XLOOKUP(A75,excel_project[Contact_ID],excel_project[Total Messages])&gt;=300,"High",_xlfn.XLOOKUP(A75,excel_project[Contact_ID],excel_project[Total Messages])&gt;=100,"Medium",TRUE,"Low")</f>
        <v>Low</v>
      </c>
      <c r="I75" t="str" cm="1">
        <f t="array" ref="I75">_xlfn.IFS(AND(_xlfn.XLOOKUP(A75,excel_project[Contact_ID],excel_project[Voice Note Sent])&gt;0,_xlfn.XLOOKUP(A75,excel_project[Contact_ID],excel_project[Call Sent])&gt;0),"Multi-Channel",_xlfn.XLOOKUP(A75,excel_project[Contact_ID],excel_project[Call Sent])&gt;0,"Caller",_xlfn.XLOOKUP(A75,excel_project[Contact_ID],excel_project[Voice Note Sent])&gt;0,"Voice Note User",TRUE,"Text Only")</f>
        <v>Voice Note User</v>
      </c>
    </row>
    <row r="76" spans="1:9">
      <c r="A76" t="str">
        <v>75M</v>
      </c>
      <c r="B76" t="str">
        <f t="shared" si="6"/>
        <v>75</v>
      </c>
      <c r="C76" t="str">
        <f t="shared" si="7"/>
        <v>M</v>
      </c>
      <c r="D76" t="str">
        <f t="shared" si="8"/>
        <v>Male</v>
      </c>
      <c r="E76" t="str">
        <f t="shared" si="9"/>
        <v>Contact 75 (Male)</v>
      </c>
      <c r="F76" t="str">
        <f t="shared" si="10"/>
        <v>75M</v>
      </c>
      <c r="G76">
        <f t="shared" si="11"/>
        <v>3</v>
      </c>
      <c r="H76" t="str" cm="1">
        <f t="array" ref="H76">_xlfn.IFS(_xlfn.XLOOKUP(A76,excel_project[Contact_ID],excel_project[Total Messages])&gt;=600,"Very High",_xlfn.XLOOKUP(A76,excel_project[Contact_ID],excel_project[Total Messages])&gt;=300,"High",_xlfn.XLOOKUP(A76,excel_project[Contact_ID],excel_project[Total Messages])&gt;=100,"Medium",TRUE,"Low")</f>
        <v>Low</v>
      </c>
      <c r="I76" t="str" cm="1">
        <f t="array" ref="I76">_xlfn.IFS(AND(_xlfn.XLOOKUP(A76,excel_project[Contact_ID],excel_project[Voice Note Sent])&gt;0,_xlfn.XLOOKUP(A76,excel_project[Contact_ID],excel_project[Call Sent])&gt;0),"Multi-Channel",_xlfn.XLOOKUP(A76,excel_project[Contact_ID],excel_project[Call Sent])&gt;0,"Caller",_xlfn.XLOOKUP(A76,excel_project[Contact_ID],excel_project[Voice Note Sent])&gt;0,"Voice Note User",TRUE,"Text Only")</f>
        <v>Voice Note User</v>
      </c>
    </row>
    <row r="77" spans="1:9">
      <c r="A77" t="str">
        <v>76M</v>
      </c>
      <c r="B77" t="str">
        <f t="shared" si="6"/>
        <v>76</v>
      </c>
      <c r="C77" t="str">
        <f t="shared" si="7"/>
        <v>M</v>
      </c>
      <c r="D77" t="str">
        <f t="shared" si="8"/>
        <v>Male</v>
      </c>
      <c r="E77" t="str">
        <f t="shared" si="9"/>
        <v>Contact 76 (Male)</v>
      </c>
      <c r="F77" t="str">
        <f t="shared" si="10"/>
        <v>76M</v>
      </c>
      <c r="G77">
        <f t="shared" si="11"/>
        <v>3</v>
      </c>
      <c r="H77" t="str" cm="1">
        <f t="array" ref="H77">_xlfn.IFS(_xlfn.XLOOKUP(A77,excel_project[Contact_ID],excel_project[Total Messages])&gt;=600,"Very High",_xlfn.XLOOKUP(A77,excel_project[Contact_ID],excel_project[Total Messages])&gt;=300,"High",_xlfn.XLOOKUP(A77,excel_project[Contact_ID],excel_project[Total Messages])&gt;=100,"Medium",TRUE,"Low")</f>
        <v>Low</v>
      </c>
      <c r="I77" t="str" cm="1">
        <f t="array" ref="I77">_xlfn.IFS(AND(_xlfn.XLOOKUP(A77,excel_project[Contact_ID],excel_project[Voice Note Sent])&gt;0,_xlfn.XLOOKUP(A77,excel_project[Contact_ID],excel_project[Call Sent])&gt;0),"Multi-Channel",_xlfn.XLOOKUP(A77,excel_project[Contact_ID],excel_project[Call Sent])&gt;0,"Caller",_xlfn.XLOOKUP(A77,excel_project[Contact_ID],excel_project[Voice Note Sent])&gt;0,"Voice Note User",TRUE,"Text Only")</f>
        <v>Text Only</v>
      </c>
    </row>
    <row r="78" spans="1:9">
      <c r="A78" t="str">
        <v>77M</v>
      </c>
      <c r="B78" t="str">
        <f t="shared" si="6"/>
        <v>77</v>
      </c>
      <c r="C78" t="str">
        <f t="shared" si="7"/>
        <v>M</v>
      </c>
      <c r="D78" t="str">
        <f t="shared" si="8"/>
        <v>Male</v>
      </c>
      <c r="E78" t="str">
        <f t="shared" si="9"/>
        <v>Contact 77 (Male)</v>
      </c>
      <c r="F78" t="str">
        <f t="shared" si="10"/>
        <v>77M</v>
      </c>
      <c r="G78">
        <f t="shared" si="11"/>
        <v>3</v>
      </c>
      <c r="H78" t="str" cm="1">
        <f t="array" ref="H78">_xlfn.IFS(_xlfn.XLOOKUP(A78,excel_project[Contact_ID],excel_project[Total Messages])&gt;=600,"Very High",_xlfn.XLOOKUP(A78,excel_project[Contact_ID],excel_project[Total Messages])&gt;=300,"High",_xlfn.XLOOKUP(A78,excel_project[Contact_ID],excel_project[Total Messages])&gt;=100,"Medium",TRUE,"Low")</f>
        <v>Low</v>
      </c>
      <c r="I78" t="str" cm="1">
        <f t="array" ref="I78">_xlfn.IFS(AND(_xlfn.XLOOKUP(A78,excel_project[Contact_ID],excel_project[Voice Note Sent])&gt;0,_xlfn.XLOOKUP(A78,excel_project[Contact_ID],excel_project[Call Sent])&gt;0),"Multi-Channel",_xlfn.XLOOKUP(A78,excel_project[Contact_ID],excel_project[Call Sent])&gt;0,"Caller",_xlfn.XLOOKUP(A78,excel_project[Contact_ID],excel_project[Voice Note Sent])&gt;0,"Voice Note User",TRUE,"Text Only")</f>
        <v>Text Only</v>
      </c>
    </row>
    <row r="79" spans="1:9">
      <c r="A79" t="str">
        <v>78M</v>
      </c>
      <c r="B79" t="str">
        <f t="shared" si="6"/>
        <v>78</v>
      </c>
      <c r="C79" t="str">
        <f t="shared" si="7"/>
        <v>M</v>
      </c>
      <c r="D79" t="str">
        <f t="shared" si="8"/>
        <v>Male</v>
      </c>
      <c r="E79" t="str">
        <f t="shared" si="9"/>
        <v>Contact 78 (Male)</v>
      </c>
      <c r="F79" t="str">
        <f t="shared" si="10"/>
        <v>78M</v>
      </c>
      <c r="G79">
        <f t="shared" si="11"/>
        <v>3</v>
      </c>
      <c r="H79" t="str" cm="1">
        <f t="array" ref="H79">_xlfn.IFS(_xlfn.XLOOKUP(A79,excel_project[Contact_ID],excel_project[Total Messages])&gt;=600,"Very High",_xlfn.XLOOKUP(A79,excel_project[Contact_ID],excel_project[Total Messages])&gt;=300,"High",_xlfn.XLOOKUP(A79,excel_project[Contact_ID],excel_project[Total Messages])&gt;=100,"Medium",TRUE,"Low")</f>
        <v>Low</v>
      </c>
      <c r="I79" t="str" cm="1">
        <f t="array" ref="I79">_xlfn.IFS(AND(_xlfn.XLOOKUP(A79,excel_project[Contact_ID],excel_project[Voice Note Sent])&gt;0,_xlfn.XLOOKUP(A79,excel_project[Contact_ID],excel_project[Call Sent])&gt;0),"Multi-Channel",_xlfn.XLOOKUP(A79,excel_project[Contact_ID],excel_project[Call Sent])&gt;0,"Caller",_xlfn.XLOOKUP(A79,excel_project[Contact_ID],excel_project[Voice Note Sent])&gt;0,"Voice Note User",TRUE,"Text Only")</f>
        <v>Caller</v>
      </c>
    </row>
    <row r="80" spans="1:9">
      <c r="A80" t="str">
        <v>79M</v>
      </c>
      <c r="B80" t="str">
        <f t="shared" si="6"/>
        <v>79</v>
      </c>
      <c r="C80" t="str">
        <f t="shared" si="7"/>
        <v>M</v>
      </c>
      <c r="D80" t="str">
        <f t="shared" si="8"/>
        <v>Male</v>
      </c>
      <c r="E80" t="str">
        <f t="shared" si="9"/>
        <v>Contact 79 (Male)</v>
      </c>
      <c r="F80" t="str">
        <f t="shared" si="10"/>
        <v>79M</v>
      </c>
      <c r="G80">
        <f t="shared" si="11"/>
        <v>3</v>
      </c>
      <c r="H80" t="str" cm="1">
        <f t="array" ref="H80">_xlfn.IFS(_xlfn.XLOOKUP(A80,excel_project[Contact_ID],excel_project[Total Messages])&gt;=600,"Very High",_xlfn.XLOOKUP(A80,excel_project[Contact_ID],excel_project[Total Messages])&gt;=300,"High",_xlfn.XLOOKUP(A80,excel_project[Contact_ID],excel_project[Total Messages])&gt;=100,"Medium",TRUE,"Low")</f>
        <v>Low</v>
      </c>
      <c r="I80" t="str" cm="1">
        <f t="array" ref="I80">_xlfn.IFS(AND(_xlfn.XLOOKUP(A80,excel_project[Contact_ID],excel_project[Voice Note Sent])&gt;0,_xlfn.XLOOKUP(A80,excel_project[Contact_ID],excel_project[Call Sent])&gt;0),"Multi-Channel",_xlfn.XLOOKUP(A80,excel_project[Contact_ID],excel_project[Call Sent])&gt;0,"Caller",_xlfn.XLOOKUP(A80,excel_project[Contact_ID],excel_project[Voice Note Sent])&gt;0,"Voice Note User",TRUE,"Text Only")</f>
        <v>Text Only</v>
      </c>
    </row>
    <row r="81" spans="1:9">
      <c r="A81" t="str">
        <v>80M</v>
      </c>
      <c r="B81" t="str">
        <f t="shared" si="6"/>
        <v>80</v>
      </c>
      <c r="C81" t="str">
        <f t="shared" si="7"/>
        <v>M</v>
      </c>
      <c r="D81" t="str">
        <f t="shared" si="8"/>
        <v>Male</v>
      </c>
      <c r="E81" t="str">
        <f t="shared" si="9"/>
        <v>Contact 80 (Male)</v>
      </c>
      <c r="F81" t="str">
        <f t="shared" si="10"/>
        <v>80M</v>
      </c>
      <c r="G81">
        <f t="shared" si="11"/>
        <v>3</v>
      </c>
      <c r="H81" t="str" cm="1">
        <f t="array" ref="H81">_xlfn.IFS(_xlfn.XLOOKUP(A81,excel_project[Contact_ID],excel_project[Total Messages])&gt;=600,"Very High",_xlfn.XLOOKUP(A81,excel_project[Contact_ID],excel_project[Total Messages])&gt;=300,"High",_xlfn.XLOOKUP(A81,excel_project[Contact_ID],excel_project[Total Messages])&gt;=100,"Medium",TRUE,"Low")</f>
        <v>Low</v>
      </c>
      <c r="I81" t="str" cm="1">
        <f t="array" ref="I81">_xlfn.IFS(AND(_xlfn.XLOOKUP(A81,excel_project[Contact_ID],excel_project[Voice Note Sent])&gt;0,_xlfn.XLOOKUP(A81,excel_project[Contact_ID],excel_project[Call Sent])&gt;0),"Multi-Channel",_xlfn.XLOOKUP(A81,excel_project[Contact_ID],excel_project[Call Sent])&gt;0,"Caller",_xlfn.XLOOKUP(A81,excel_project[Contact_ID],excel_project[Voice Note Sent])&gt;0,"Voice Note User",TRUE,"Text Only")</f>
        <v>Text Only</v>
      </c>
    </row>
    <row r="82" spans="1:9">
      <c r="A82" t="str">
        <v>81M</v>
      </c>
      <c r="B82" t="str">
        <f t="shared" si="6"/>
        <v>81</v>
      </c>
      <c r="C82" t="str">
        <f t="shared" si="7"/>
        <v>M</v>
      </c>
      <c r="D82" t="str">
        <f t="shared" si="8"/>
        <v>Male</v>
      </c>
      <c r="E82" t="str">
        <f t="shared" si="9"/>
        <v>Contact 81 (Male)</v>
      </c>
      <c r="F82" t="str">
        <f t="shared" si="10"/>
        <v>81M</v>
      </c>
      <c r="G82">
        <f t="shared" si="11"/>
        <v>3</v>
      </c>
      <c r="H82" t="str" cm="1">
        <f t="array" ref="H82">_xlfn.IFS(_xlfn.XLOOKUP(A82,excel_project[Contact_ID],excel_project[Total Messages])&gt;=600,"Very High",_xlfn.XLOOKUP(A82,excel_project[Contact_ID],excel_project[Total Messages])&gt;=300,"High",_xlfn.XLOOKUP(A82,excel_project[Contact_ID],excel_project[Total Messages])&gt;=100,"Medium",TRUE,"Low")</f>
        <v>Low</v>
      </c>
      <c r="I82" t="str" cm="1">
        <f t="array" ref="I82">_xlfn.IFS(AND(_xlfn.XLOOKUP(A82,excel_project[Contact_ID],excel_project[Voice Note Sent])&gt;0,_xlfn.XLOOKUP(A82,excel_project[Contact_ID],excel_project[Call Sent])&gt;0),"Multi-Channel",_xlfn.XLOOKUP(A82,excel_project[Contact_ID],excel_project[Call Sent])&gt;0,"Caller",_xlfn.XLOOKUP(A82,excel_project[Contact_ID],excel_project[Voice Note Sent])&gt;0,"Voice Note User",TRUE,"Text Only")</f>
        <v>Caller</v>
      </c>
    </row>
    <row r="83" spans="1:9">
      <c r="A83" t="str">
        <v>82M</v>
      </c>
      <c r="B83" t="str">
        <f t="shared" si="6"/>
        <v>82</v>
      </c>
      <c r="C83" t="str">
        <f t="shared" si="7"/>
        <v>M</v>
      </c>
      <c r="D83" t="str">
        <f t="shared" si="8"/>
        <v>Male</v>
      </c>
      <c r="E83" t="str">
        <f t="shared" si="9"/>
        <v>Contact 82 (Male)</v>
      </c>
      <c r="F83" t="str">
        <f t="shared" si="10"/>
        <v>82M</v>
      </c>
      <c r="G83">
        <f t="shared" si="11"/>
        <v>3</v>
      </c>
      <c r="H83" t="str" cm="1">
        <f t="array" ref="H83">_xlfn.IFS(_xlfn.XLOOKUP(A83,excel_project[Contact_ID],excel_project[Total Messages])&gt;=600,"Very High",_xlfn.XLOOKUP(A83,excel_project[Contact_ID],excel_project[Total Messages])&gt;=300,"High",_xlfn.XLOOKUP(A83,excel_project[Contact_ID],excel_project[Total Messages])&gt;=100,"Medium",TRUE,"Low")</f>
        <v>Low</v>
      </c>
      <c r="I83" t="str" cm="1">
        <f t="array" ref="I83">_xlfn.IFS(AND(_xlfn.XLOOKUP(A83,excel_project[Contact_ID],excel_project[Voice Note Sent])&gt;0,_xlfn.XLOOKUP(A83,excel_project[Contact_ID],excel_project[Call Sent])&gt;0),"Multi-Channel",_xlfn.XLOOKUP(A83,excel_project[Contact_ID],excel_project[Call Sent])&gt;0,"Caller",_xlfn.XLOOKUP(A83,excel_project[Contact_ID],excel_project[Voice Note Sent])&gt;0,"Voice Note User",TRUE,"Text Only")</f>
        <v>Text Only</v>
      </c>
    </row>
    <row r="84" spans="1:9">
      <c r="A84" t="str">
        <v>83M</v>
      </c>
      <c r="B84" t="str">
        <f t="shared" si="6"/>
        <v>83</v>
      </c>
      <c r="C84" t="str">
        <f t="shared" si="7"/>
        <v>M</v>
      </c>
      <c r="D84" t="str">
        <f t="shared" si="8"/>
        <v>Male</v>
      </c>
      <c r="E84" t="str">
        <f t="shared" si="9"/>
        <v>Contact 83 (Male)</v>
      </c>
      <c r="F84" t="str">
        <f t="shared" si="10"/>
        <v>83M</v>
      </c>
      <c r="G84">
        <f t="shared" si="11"/>
        <v>3</v>
      </c>
      <c r="H84" t="str" cm="1">
        <f t="array" ref="H84">_xlfn.IFS(_xlfn.XLOOKUP(A84,excel_project[Contact_ID],excel_project[Total Messages])&gt;=600,"Very High",_xlfn.XLOOKUP(A84,excel_project[Contact_ID],excel_project[Total Messages])&gt;=300,"High",_xlfn.XLOOKUP(A84,excel_project[Contact_ID],excel_project[Total Messages])&gt;=100,"Medium",TRUE,"Low")</f>
        <v>Low</v>
      </c>
      <c r="I84" t="str" cm="1">
        <f t="array" ref="I84">_xlfn.IFS(AND(_xlfn.XLOOKUP(A84,excel_project[Contact_ID],excel_project[Voice Note Sent])&gt;0,_xlfn.XLOOKUP(A84,excel_project[Contact_ID],excel_project[Call Sent])&gt;0),"Multi-Channel",_xlfn.XLOOKUP(A84,excel_project[Contact_ID],excel_project[Call Sent])&gt;0,"Caller",_xlfn.XLOOKUP(A84,excel_project[Contact_ID],excel_project[Voice Note Sent])&gt;0,"Voice Note User",TRUE,"Text Only")</f>
        <v>Text Only</v>
      </c>
    </row>
    <row r="85" spans="1:9">
      <c r="A85" t="str">
        <v>84M</v>
      </c>
      <c r="B85" t="str">
        <f t="shared" si="6"/>
        <v>84</v>
      </c>
      <c r="C85" t="str">
        <f t="shared" si="7"/>
        <v>M</v>
      </c>
      <c r="D85" t="str">
        <f t="shared" si="8"/>
        <v>Male</v>
      </c>
      <c r="E85" t="str">
        <f t="shared" si="9"/>
        <v>Contact 84 (Male)</v>
      </c>
      <c r="F85" t="str">
        <f t="shared" si="10"/>
        <v>84M</v>
      </c>
      <c r="G85">
        <f t="shared" si="11"/>
        <v>3</v>
      </c>
      <c r="H85" t="str" cm="1">
        <f t="array" ref="H85">_xlfn.IFS(_xlfn.XLOOKUP(A85,excel_project[Contact_ID],excel_project[Total Messages])&gt;=600,"Very High",_xlfn.XLOOKUP(A85,excel_project[Contact_ID],excel_project[Total Messages])&gt;=300,"High",_xlfn.XLOOKUP(A85,excel_project[Contact_ID],excel_project[Total Messages])&gt;=100,"Medium",TRUE,"Low")</f>
        <v>Low</v>
      </c>
      <c r="I85" t="str" cm="1">
        <f t="array" ref="I85">_xlfn.IFS(AND(_xlfn.XLOOKUP(A85,excel_project[Contact_ID],excel_project[Voice Note Sent])&gt;0,_xlfn.XLOOKUP(A85,excel_project[Contact_ID],excel_project[Call Sent])&gt;0),"Multi-Channel",_xlfn.XLOOKUP(A85,excel_project[Contact_ID],excel_project[Call Sent])&gt;0,"Caller",_xlfn.XLOOKUP(A85,excel_project[Contact_ID],excel_project[Voice Note Sent])&gt;0,"Voice Note User",TRUE,"Text Only")</f>
        <v>Text Only</v>
      </c>
    </row>
    <row r="86" spans="1:9">
      <c r="A86" t="str">
        <v>85M</v>
      </c>
      <c r="B86" t="str">
        <f t="shared" si="6"/>
        <v>85</v>
      </c>
      <c r="C86" t="str">
        <f t="shared" si="7"/>
        <v>M</v>
      </c>
      <c r="D86" t="str">
        <f t="shared" si="8"/>
        <v>Male</v>
      </c>
      <c r="E86" t="str">
        <f t="shared" si="9"/>
        <v>Contact 85 (Male)</v>
      </c>
      <c r="F86" t="str">
        <f t="shared" si="10"/>
        <v>85M</v>
      </c>
      <c r="G86">
        <f t="shared" si="11"/>
        <v>3</v>
      </c>
      <c r="H86" t="str" cm="1">
        <f t="array" ref="H86">_xlfn.IFS(_xlfn.XLOOKUP(A86,excel_project[Contact_ID],excel_project[Total Messages])&gt;=600,"Very High",_xlfn.XLOOKUP(A86,excel_project[Contact_ID],excel_project[Total Messages])&gt;=300,"High",_xlfn.XLOOKUP(A86,excel_project[Contact_ID],excel_project[Total Messages])&gt;=100,"Medium",TRUE,"Low")</f>
        <v>Low</v>
      </c>
      <c r="I86" t="str" cm="1">
        <f t="array" ref="I86">_xlfn.IFS(AND(_xlfn.XLOOKUP(A86,excel_project[Contact_ID],excel_project[Voice Note Sent])&gt;0,_xlfn.XLOOKUP(A86,excel_project[Contact_ID],excel_project[Call Sent])&gt;0),"Multi-Channel",_xlfn.XLOOKUP(A86,excel_project[Contact_ID],excel_project[Call Sent])&gt;0,"Caller",_xlfn.XLOOKUP(A86,excel_project[Contact_ID],excel_project[Voice Note Sent])&gt;0,"Voice Note User",TRUE,"Text Only")</f>
        <v>Voice Note User</v>
      </c>
    </row>
    <row r="87" spans="1:9">
      <c r="A87" t="str">
        <v>86F</v>
      </c>
      <c r="B87" t="str">
        <f t="shared" si="6"/>
        <v>86</v>
      </c>
      <c r="C87" t="str">
        <f t="shared" si="7"/>
        <v>F</v>
      </c>
      <c r="D87" t="str">
        <f t="shared" si="8"/>
        <v>Female</v>
      </c>
      <c r="E87" t="str">
        <f t="shared" si="9"/>
        <v>Contact 86 (Female)</v>
      </c>
      <c r="F87" t="str">
        <f t="shared" si="10"/>
        <v>86F</v>
      </c>
      <c r="G87">
        <f t="shared" si="11"/>
        <v>3</v>
      </c>
      <c r="H87" t="str" cm="1">
        <f t="array" ref="H87">_xlfn.IFS(_xlfn.XLOOKUP(A87,excel_project[Contact_ID],excel_project[Total Messages])&gt;=600,"Very High",_xlfn.XLOOKUP(A87,excel_project[Contact_ID],excel_project[Total Messages])&gt;=300,"High",_xlfn.XLOOKUP(A87,excel_project[Contact_ID],excel_project[Total Messages])&gt;=100,"Medium",TRUE,"Low")</f>
        <v>Low</v>
      </c>
      <c r="I87" t="str" cm="1">
        <f t="array" ref="I87">_xlfn.IFS(AND(_xlfn.XLOOKUP(A87,excel_project[Contact_ID],excel_project[Voice Note Sent])&gt;0,_xlfn.XLOOKUP(A87,excel_project[Contact_ID],excel_project[Call Sent])&gt;0),"Multi-Channel",_xlfn.XLOOKUP(A87,excel_project[Contact_ID],excel_project[Call Sent])&gt;0,"Caller",_xlfn.XLOOKUP(A87,excel_project[Contact_ID],excel_project[Voice Note Sent])&gt;0,"Voice Note User",TRUE,"Text Only")</f>
        <v>Text Only</v>
      </c>
    </row>
    <row r="88" spans="1:9">
      <c r="A88" t="str">
        <v>87M</v>
      </c>
      <c r="B88" t="str">
        <f t="shared" si="6"/>
        <v>87</v>
      </c>
      <c r="C88" t="str">
        <f t="shared" si="7"/>
        <v>M</v>
      </c>
      <c r="D88" t="str">
        <f t="shared" si="8"/>
        <v>Male</v>
      </c>
      <c r="E88" t="str">
        <f t="shared" si="9"/>
        <v>Contact 87 (Male)</v>
      </c>
      <c r="F88" t="str">
        <f t="shared" si="10"/>
        <v>87M</v>
      </c>
      <c r="G88">
        <f t="shared" si="11"/>
        <v>3</v>
      </c>
      <c r="H88" t="str" cm="1">
        <f t="array" ref="H88">_xlfn.IFS(_xlfn.XLOOKUP(A88,excel_project[Contact_ID],excel_project[Total Messages])&gt;=600,"Very High",_xlfn.XLOOKUP(A88,excel_project[Contact_ID],excel_project[Total Messages])&gt;=300,"High",_xlfn.XLOOKUP(A88,excel_project[Contact_ID],excel_project[Total Messages])&gt;=100,"Medium",TRUE,"Low")</f>
        <v>Low</v>
      </c>
      <c r="I88" t="str" cm="1">
        <f t="array" ref="I88">_xlfn.IFS(AND(_xlfn.XLOOKUP(A88,excel_project[Contact_ID],excel_project[Voice Note Sent])&gt;0,_xlfn.XLOOKUP(A88,excel_project[Contact_ID],excel_project[Call Sent])&gt;0),"Multi-Channel",_xlfn.XLOOKUP(A88,excel_project[Contact_ID],excel_project[Call Sent])&gt;0,"Caller",_xlfn.XLOOKUP(A88,excel_project[Contact_ID],excel_project[Voice Note Sent])&gt;0,"Voice Note User",TRUE,"Text Only")</f>
        <v>Text Only</v>
      </c>
    </row>
    <row r="89" spans="1:9">
      <c r="A89" t="str">
        <v>88M</v>
      </c>
      <c r="B89" t="str">
        <f t="shared" si="6"/>
        <v>88</v>
      </c>
      <c r="C89" t="str">
        <f t="shared" si="7"/>
        <v>M</v>
      </c>
      <c r="D89" t="str">
        <f t="shared" si="8"/>
        <v>Male</v>
      </c>
      <c r="E89" t="str">
        <f t="shared" si="9"/>
        <v>Contact 88 (Male)</v>
      </c>
      <c r="F89" t="str">
        <f t="shared" si="10"/>
        <v>88M</v>
      </c>
      <c r="G89">
        <f t="shared" si="11"/>
        <v>3</v>
      </c>
      <c r="H89" t="str" cm="1">
        <f t="array" ref="H89">_xlfn.IFS(_xlfn.XLOOKUP(A89,excel_project[Contact_ID],excel_project[Total Messages])&gt;=600,"Very High",_xlfn.XLOOKUP(A89,excel_project[Contact_ID],excel_project[Total Messages])&gt;=300,"High",_xlfn.XLOOKUP(A89,excel_project[Contact_ID],excel_project[Total Messages])&gt;=100,"Medium",TRUE,"Low")</f>
        <v>Medium</v>
      </c>
      <c r="I89" t="str" cm="1">
        <f t="array" ref="I89">_xlfn.IFS(AND(_xlfn.XLOOKUP(A89,excel_project[Contact_ID],excel_project[Voice Note Sent])&gt;0,_xlfn.XLOOKUP(A89,excel_project[Contact_ID],excel_project[Call Sent])&gt;0),"Multi-Channel",_xlfn.XLOOKUP(A89,excel_project[Contact_ID],excel_project[Call Sent])&gt;0,"Caller",_xlfn.XLOOKUP(A89,excel_project[Contact_ID],excel_project[Voice Note Sent])&gt;0,"Voice Note User",TRUE,"Text Only")</f>
        <v>Voice Note User</v>
      </c>
    </row>
    <row r="90" spans="1:9">
      <c r="A90" t="str">
        <v>89F</v>
      </c>
      <c r="B90" t="str">
        <f t="shared" si="6"/>
        <v>89</v>
      </c>
      <c r="C90" t="str">
        <f t="shared" si="7"/>
        <v>F</v>
      </c>
      <c r="D90" t="str">
        <f t="shared" si="8"/>
        <v>Female</v>
      </c>
      <c r="E90" t="str">
        <f t="shared" si="9"/>
        <v>Contact 89 (Female)</v>
      </c>
      <c r="F90" t="str">
        <f t="shared" si="10"/>
        <v>89F</v>
      </c>
      <c r="G90">
        <f t="shared" si="11"/>
        <v>3</v>
      </c>
      <c r="H90" t="str" cm="1">
        <f t="array" ref="H90">_xlfn.IFS(_xlfn.XLOOKUP(A90,excel_project[Contact_ID],excel_project[Total Messages])&gt;=600,"Very High",_xlfn.XLOOKUP(A90,excel_project[Contact_ID],excel_project[Total Messages])&gt;=300,"High",_xlfn.XLOOKUP(A90,excel_project[Contact_ID],excel_project[Total Messages])&gt;=100,"Medium",TRUE,"Low")</f>
        <v>Low</v>
      </c>
      <c r="I90" t="str" cm="1">
        <f t="array" ref="I90">_xlfn.IFS(AND(_xlfn.XLOOKUP(A90,excel_project[Contact_ID],excel_project[Voice Note Sent])&gt;0,_xlfn.XLOOKUP(A90,excel_project[Contact_ID],excel_project[Call Sent])&gt;0),"Multi-Channel",_xlfn.XLOOKUP(A90,excel_project[Contact_ID],excel_project[Call Sent])&gt;0,"Caller",_xlfn.XLOOKUP(A90,excel_project[Contact_ID],excel_project[Voice Note Sent])&gt;0,"Voice Note User",TRUE,"Text Only")</f>
        <v>Text Only</v>
      </c>
    </row>
    <row r="91" spans="1:9">
      <c r="A91" t="str">
        <v>90M</v>
      </c>
      <c r="B91" t="str">
        <f t="shared" si="6"/>
        <v>90</v>
      </c>
      <c r="C91" t="str">
        <f t="shared" si="7"/>
        <v>M</v>
      </c>
      <c r="D91" t="str">
        <f t="shared" si="8"/>
        <v>Male</v>
      </c>
      <c r="E91" t="str">
        <f t="shared" si="9"/>
        <v>Contact 90 (Male)</v>
      </c>
      <c r="F91" t="str">
        <f t="shared" si="10"/>
        <v>90M</v>
      </c>
      <c r="G91">
        <f t="shared" si="11"/>
        <v>3</v>
      </c>
      <c r="H91" t="str" cm="1">
        <f t="array" ref="H91">_xlfn.IFS(_xlfn.XLOOKUP(A91,excel_project[Contact_ID],excel_project[Total Messages])&gt;=600,"Very High",_xlfn.XLOOKUP(A91,excel_project[Contact_ID],excel_project[Total Messages])&gt;=300,"High",_xlfn.XLOOKUP(A91,excel_project[Contact_ID],excel_project[Total Messages])&gt;=100,"Medium",TRUE,"Low")</f>
        <v>Low</v>
      </c>
      <c r="I91" t="str" cm="1">
        <f t="array" ref="I91">_xlfn.IFS(AND(_xlfn.XLOOKUP(A91,excel_project[Contact_ID],excel_project[Voice Note Sent])&gt;0,_xlfn.XLOOKUP(A91,excel_project[Contact_ID],excel_project[Call Sent])&gt;0),"Multi-Channel",_xlfn.XLOOKUP(A91,excel_project[Contact_ID],excel_project[Call Sent])&gt;0,"Caller",_xlfn.XLOOKUP(A91,excel_project[Contact_ID],excel_project[Voice Note Sent])&gt;0,"Voice Note User",TRUE,"Text Only")</f>
        <v>Text Only</v>
      </c>
    </row>
    <row r="92" spans="1:9">
      <c r="A92" t="str">
        <v>91M</v>
      </c>
      <c r="B92" t="str">
        <f t="shared" si="6"/>
        <v>91</v>
      </c>
      <c r="C92" t="str">
        <f t="shared" si="7"/>
        <v>M</v>
      </c>
      <c r="D92" t="str">
        <f t="shared" si="8"/>
        <v>Male</v>
      </c>
      <c r="E92" t="str">
        <f t="shared" si="9"/>
        <v>Contact 91 (Male)</v>
      </c>
      <c r="F92" t="str">
        <f t="shared" si="10"/>
        <v>91M</v>
      </c>
      <c r="G92">
        <f t="shared" si="11"/>
        <v>3</v>
      </c>
      <c r="H92" t="str" cm="1">
        <f t="array" ref="H92">_xlfn.IFS(_xlfn.XLOOKUP(A92,excel_project[Contact_ID],excel_project[Total Messages])&gt;=600,"Very High",_xlfn.XLOOKUP(A92,excel_project[Contact_ID],excel_project[Total Messages])&gt;=300,"High",_xlfn.XLOOKUP(A92,excel_project[Contact_ID],excel_project[Total Messages])&gt;=100,"Medium",TRUE,"Low")</f>
        <v>Low</v>
      </c>
      <c r="I92" t="str" cm="1">
        <f t="array" ref="I92">_xlfn.IFS(AND(_xlfn.XLOOKUP(A92,excel_project[Contact_ID],excel_project[Voice Note Sent])&gt;0,_xlfn.XLOOKUP(A92,excel_project[Contact_ID],excel_project[Call Sent])&gt;0),"Multi-Channel",_xlfn.XLOOKUP(A92,excel_project[Contact_ID],excel_project[Call Sent])&gt;0,"Caller",_xlfn.XLOOKUP(A92,excel_project[Contact_ID],excel_project[Voice Note Sent])&gt;0,"Voice Note User",TRUE,"Text Only")</f>
        <v>Text Only</v>
      </c>
    </row>
    <row r="93" spans="1:9">
      <c r="A93" t="str">
        <v>92M</v>
      </c>
      <c r="B93" t="str">
        <f t="shared" si="6"/>
        <v>92</v>
      </c>
      <c r="C93" t="str">
        <f t="shared" si="7"/>
        <v>M</v>
      </c>
      <c r="D93" t="str">
        <f t="shared" si="8"/>
        <v>Male</v>
      </c>
      <c r="E93" t="str">
        <f t="shared" si="9"/>
        <v>Contact 92 (Male)</v>
      </c>
      <c r="F93" t="str">
        <f t="shared" si="10"/>
        <v>92M</v>
      </c>
      <c r="G93">
        <f t="shared" si="11"/>
        <v>3</v>
      </c>
      <c r="H93" t="str" cm="1">
        <f t="array" ref="H93">_xlfn.IFS(_xlfn.XLOOKUP(A93,excel_project[Contact_ID],excel_project[Total Messages])&gt;=600,"Very High",_xlfn.XLOOKUP(A93,excel_project[Contact_ID],excel_project[Total Messages])&gt;=300,"High",_xlfn.XLOOKUP(A93,excel_project[Contact_ID],excel_project[Total Messages])&gt;=100,"Medium",TRUE,"Low")</f>
        <v>Low</v>
      </c>
      <c r="I93" t="str" cm="1">
        <f t="array" ref="I93">_xlfn.IFS(AND(_xlfn.XLOOKUP(A93,excel_project[Contact_ID],excel_project[Voice Note Sent])&gt;0,_xlfn.XLOOKUP(A93,excel_project[Contact_ID],excel_project[Call Sent])&gt;0),"Multi-Channel",_xlfn.XLOOKUP(A93,excel_project[Contact_ID],excel_project[Call Sent])&gt;0,"Caller",_xlfn.XLOOKUP(A93,excel_project[Contact_ID],excel_project[Voice Note Sent])&gt;0,"Voice Note User",TRUE,"Text Only")</f>
        <v>Text Only</v>
      </c>
    </row>
    <row r="94" spans="1:9">
      <c r="A94" t="str">
        <v>93M</v>
      </c>
      <c r="B94" t="str">
        <f t="shared" si="6"/>
        <v>93</v>
      </c>
      <c r="C94" t="str">
        <f t="shared" si="7"/>
        <v>M</v>
      </c>
      <c r="D94" t="str">
        <f t="shared" si="8"/>
        <v>Male</v>
      </c>
      <c r="E94" t="str">
        <f t="shared" si="9"/>
        <v>Contact 93 (Male)</v>
      </c>
      <c r="F94" t="str">
        <f t="shared" si="10"/>
        <v>93M</v>
      </c>
      <c r="G94">
        <f t="shared" si="11"/>
        <v>3</v>
      </c>
      <c r="H94" t="str" cm="1">
        <f t="array" ref="H94">_xlfn.IFS(_xlfn.XLOOKUP(A94,excel_project[Contact_ID],excel_project[Total Messages])&gt;=600,"Very High",_xlfn.XLOOKUP(A94,excel_project[Contact_ID],excel_project[Total Messages])&gt;=300,"High",_xlfn.XLOOKUP(A94,excel_project[Contact_ID],excel_project[Total Messages])&gt;=100,"Medium",TRUE,"Low")</f>
        <v>Low</v>
      </c>
      <c r="I94" t="str" cm="1">
        <f t="array" ref="I94">_xlfn.IFS(AND(_xlfn.XLOOKUP(A94,excel_project[Contact_ID],excel_project[Voice Note Sent])&gt;0,_xlfn.XLOOKUP(A94,excel_project[Contact_ID],excel_project[Call Sent])&gt;0),"Multi-Channel",_xlfn.XLOOKUP(A94,excel_project[Contact_ID],excel_project[Call Sent])&gt;0,"Caller",_xlfn.XLOOKUP(A94,excel_project[Contact_ID],excel_project[Voice Note Sent])&gt;0,"Voice Note User",TRUE,"Text Only")</f>
        <v>Text Only</v>
      </c>
    </row>
    <row r="95" spans="1:9">
      <c r="A95" t="str">
        <v>94M</v>
      </c>
      <c r="B95" t="str">
        <f t="shared" si="6"/>
        <v>94</v>
      </c>
      <c r="C95" t="str">
        <f t="shared" si="7"/>
        <v>M</v>
      </c>
      <c r="D95" t="str">
        <f t="shared" si="8"/>
        <v>Male</v>
      </c>
      <c r="E95" t="str">
        <f t="shared" si="9"/>
        <v>Contact 94 (Male)</v>
      </c>
      <c r="F95" t="str">
        <f t="shared" si="10"/>
        <v>94M</v>
      </c>
      <c r="G95">
        <f t="shared" si="11"/>
        <v>3</v>
      </c>
      <c r="H95" t="str" cm="1">
        <f t="array" ref="H95">_xlfn.IFS(_xlfn.XLOOKUP(A95,excel_project[Contact_ID],excel_project[Total Messages])&gt;=600,"Very High",_xlfn.XLOOKUP(A95,excel_project[Contact_ID],excel_project[Total Messages])&gt;=300,"High",_xlfn.XLOOKUP(A95,excel_project[Contact_ID],excel_project[Total Messages])&gt;=100,"Medium",TRUE,"Low")</f>
        <v>Low</v>
      </c>
      <c r="I95" t="str" cm="1">
        <f t="array" ref="I95">_xlfn.IFS(AND(_xlfn.XLOOKUP(A95,excel_project[Contact_ID],excel_project[Voice Note Sent])&gt;0,_xlfn.XLOOKUP(A95,excel_project[Contact_ID],excel_project[Call Sent])&gt;0),"Multi-Channel",_xlfn.XLOOKUP(A95,excel_project[Contact_ID],excel_project[Call Sent])&gt;0,"Caller",_xlfn.XLOOKUP(A95,excel_project[Contact_ID],excel_project[Voice Note Sent])&gt;0,"Voice Note User",TRUE,"Text Only")</f>
        <v>Text Only</v>
      </c>
    </row>
    <row r="96" spans="1:9">
      <c r="A96" t="str">
        <v>95M</v>
      </c>
      <c r="B96" t="str">
        <f t="shared" si="6"/>
        <v>95</v>
      </c>
      <c r="C96" t="str">
        <f t="shared" si="7"/>
        <v>M</v>
      </c>
      <c r="D96" t="str">
        <f t="shared" si="8"/>
        <v>Male</v>
      </c>
      <c r="E96" t="str">
        <f t="shared" si="9"/>
        <v>Contact 95 (Male)</v>
      </c>
      <c r="F96" t="str">
        <f t="shared" si="10"/>
        <v>95M</v>
      </c>
      <c r="G96">
        <f t="shared" si="11"/>
        <v>3</v>
      </c>
      <c r="H96" t="str" cm="1">
        <f t="array" ref="H96">_xlfn.IFS(_xlfn.XLOOKUP(A96,excel_project[Contact_ID],excel_project[Total Messages])&gt;=600,"Very High",_xlfn.XLOOKUP(A96,excel_project[Contact_ID],excel_project[Total Messages])&gt;=300,"High",_xlfn.XLOOKUP(A96,excel_project[Contact_ID],excel_project[Total Messages])&gt;=100,"Medium",TRUE,"Low")</f>
        <v>Low</v>
      </c>
      <c r="I96" t="str" cm="1">
        <f t="array" ref="I96">_xlfn.IFS(AND(_xlfn.XLOOKUP(A96,excel_project[Contact_ID],excel_project[Voice Note Sent])&gt;0,_xlfn.XLOOKUP(A96,excel_project[Contact_ID],excel_project[Call Sent])&gt;0),"Multi-Channel",_xlfn.XLOOKUP(A96,excel_project[Contact_ID],excel_project[Call Sent])&gt;0,"Caller",_xlfn.XLOOKUP(A96,excel_project[Contact_ID],excel_project[Voice Note Sent])&gt;0,"Voice Note User",TRUE,"Text Only")</f>
        <v>Text Only</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E6549-946E-4076-818D-E6B046A8558C}">
  <dimension ref="B2:C32"/>
  <sheetViews>
    <sheetView tabSelected="1" zoomScale="87" workbookViewId="0">
      <selection activeCell="C2" sqref="C2"/>
    </sheetView>
  </sheetViews>
  <sheetFormatPr defaultRowHeight="14.4"/>
  <cols>
    <col min="2" max="2" width="27.21875" customWidth="1"/>
    <col min="3" max="3" width="15" customWidth="1"/>
  </cols>
  <sheetData>
    <row r="2" spans="2:3">
      <c r="B2" s="2" t="s">
        <v>146</v>
      </c>
      <c r="C2" s="2" t="s">
        <v>28</v>
      </c>
    </row>
    <row r="3" spans="2:3">
      <c r="B3" s="3"/>
      <c r="C3" s="3"/>
    </row>
    <row r="4" spans="2:3">
      <c r="B4" s="1" t="s">
        <v>4</v>
      </c>
      <c r="C4" s="2">
        <f>_xlfn.XLOOKUP($C$2,excel_project[Contact_ID],excel_project[Total Messages],"Not Found")</f>
        <v>50</v>
      </c>
    </row>
    <row r="5" spans="2:3">
      <c r="B5" s="1" t="s">
        <v>5</v>
      </c>
      <c r="C5" s="2">
        <f>_xlfn.XLOOKUP($C$2,excel_project[Contact_ID],excel_project[My Messages],"Not Found")</f>
        <v>30</v>
      </c>
    </row>
    <row r="6" spans="2:3">
      <c r="B6" s="1" t="s">
        <v>6</v>
      </c>
      <c r="C6" s="2">
        <f>_xlfn.XLOOKUP($C$2,excel_project[Contact_ID],excel_project[Your Messages],"Not Found")</f>
        <v>20</v>
      </c>
    </row>
    <row r="7" spans="2:3">
      <c r="B7" s="1" t="s">
        <v>2</v>
      </c>
      <c r="C7" s="2" t="str">
        <f>_xlfn.XLOOKUP($C$2,excel_project[Contact_ID],excel_project[Gender],"Not Found")</f>
        <v>M</v>
      </c>
    </row>
    <row r="8" spans="2:3">
      <c r="B8" s="1" t="s">
        <v>147</v>
      </c>
      <c r="C8" s="2" t="str">
        <f>_xlfn.XLOOKUP($C$2,Analysis!$A$2:$A$96,Analysis!$H$2:$H$96,"Not Found")</f>
        <v>Low</v>
      </c>
    </row>
    <row r="9" spans="2:3">
      <c r="B9" s="1" t="s">
        <v>148</v>
      </c>
      <c r="C9" s="2" t="str">
        <f>_xlfn.XLOOKUP($C$2,Analysis!$A$2:$A$96,Analysis!$I$2:$I$96,"Not Found")</f>
        <v>Text Only</v>
      </c>
    </row>
    <row r="10" spans="2:3">
      <c r="B10" s="1" t="s">
        <v>149</v>
      </c>
      <c r="C10" s="2">
        <f>RANK(_xlfn.XLOOKUP($C$2,excel_project[Contact_ID],excel_project[Total Messages]),excel_project[Total Messages],0)</f>
        <v>37</v>
      </c>
    </row>
    <row r="11" spans="2:3">
      <c r="B11" s="1" t="s">
        <v>150</v>
      </c>
      <c r="C11" s="2">
        <f>_xlfn.XLOOKUP($C$2,excel_project[Contact_ID],excel_project[Days with messages],"Not Found")</f>
        <v>7</v>
      </c>
    </row>
    <row r="12" spans="2:3">
      <c r="B12" s="1" t="s">
        <v>7</v>
      </c>
      <c r="C12" s="2">
        <f>_xlfn.XLOOKUP($C$2,excel_project[Contact_ID],excel_project[Doc Sent],"Not Found")</f>
        <v>1</v>
      </c>
    </row>
    <row r="13" spans="2:3">
      <c r="B13" s="1" t="s">
        <v>8</v>
      </c>
      <c r="C13" s="2">
        <f>_xlfn.XLOOKUP($C$2,excel_project[Contact_ID],excel_project[Doc Received],"Not Found")</f>
        <v>2</v>
      </c>
    </row>
    <row r="14" spans="2:3">
      <c r="B14" s="1" t="s">
        <v>9</v>
      </c>
      <c r="C14" s="2">
        <f>_xlfn.XLOOKUP($C$2,excel_project[Contact_ID],excel_project[Voice Note Sent],"Not Found")</f>
        <v>0</v>
      </c>
    </row>
    <row r="15" spans="2:3">
      <c r="B15" s="1" t="s">
        <v>10</v>
      </c>
      <c r="C15" s="2">
        <f>_xlfn.XLOOKUP($C$2,excel_project[Contact_ID],excel_project[Voice Note Received],"Not Found")</f>
        <v>0</v>
      </c>
    </row>
    <row r="16" spans="2:3">
      <c r="B16" s="1" t="s">
        <v>11</v>
      </c>
      <c r="C16" s="2">
        <f>_xlfn.XLOOKUP($C$2,excel_project[Contact_ID],excel_project[Call Sent],"Not Found")</f>
        <v>0</v>
      </c>
    </row>
    <row r="17" spans="2:3">
      <c r="B17" s="1" t="s">
        <v>12</v>
      </c>
      <c r="C17" s="2">
        <f>_xlfn.XLOOKUP($C$2,excel_project[Contact_ID],excel_project[Call Sent (Answered)],"Not Found")</f>
        <v>0</v>
      </c>
    </row>
    <row r="18" spans="2:3">
      <c r="B18" s="1" t="s">
        <v>13</v>
      </c>
      <c r="C18" s="2">
        <f>_xlfn.XLOOKUP($C$2,excel_project[Contact_ID],excel_project[Call Received],"Not Found")</f>
        <v>0</v>
      </c>
    </row>
    <row r="19" spans="2:3">
      <c r="B19" s="1" t="s">
        <v>14</v>
      </c>
      <c r="C19" s="2">
        <f>_xlfn.XLOOKUP($C$2,excel_project[Contact_ID],excel_project[Call Received (Answered)],"Not Found")</f>
        <v>0</v>
      </c>
    </row>
    <row r="20" spans="2:3">
      <c r="B20" s="1" t="s">
        <v>15</v>
      </c>
      <c r="C20" s="2">
        <f>_xlfn.XLOOKUP($C$2,excel_project[Contact_ID],excel_project[Call Duration (min)],"Not Found")</f>
        <v>0</v>
      </c>
    </row>
    <row r="21" spans="2:3">
      <c r="B21" s="1" t="s">
        <v>16</v>
      </c>
      <c r="C21" s="2">
        <f>_xlfn.XLOOKUP($C$2,excel_project[Contact_ID],excel_project[Messages Deleted (By Me)],"Not Found")</f>
        <v>0</v>
      </c>
    </row>
    <row r="22" spans="2:3">
      <c r="B22" s="1" t="s">
        <v>17</v>
      </c>
      <c r="C22" s="2">
        <f>_xlfn.XLOOKUP($C$2,excel_project[Contact_ID],excel_project[Messages Deleted (By You)],"Not Found")</f>
        <v>0</v>
      </c>
    </row>
    <row r="23" spans="2:3">
      <c r="B23" s="1" t="s">
        <v>18</v>
      </c>
      <c r="C23" s="2">
        <f>_xlfn.XLOOKUP($C$2,excel_project[Contact_ID],excel_project[My Reactions],"Not Found")</f>
        <v>1</v>
      </c>
    </row>
    <row r="24" spans="2:3">
      <c r="B24" s="1" t="s">
        <v>19</v>
      </c>
      <c r="C24" s="2">
        <f>_xlfn.XLOOKUP($C$2,excel_project[Contact_ID],excel_project[Your Reactions],"Not Found")</f>
        <v>5</v>
      </c>
    </row>
    <row r="25" spans="2:3">
      <c r="B25" s="1" t="s">
        <v>20</v>
      </c>
      <c r="C25" s="2">
        <f>_xlfn.XLOOKUP($C$2,excel_project[Contact_ID],excel_project[My Stickers],"Not Found")</f>
        <v>0</v>
      </c>
    </row>
    <row r="26" spans="2:3">
      <c r="B26" s="1" t="s">
        <v>21</v>
      </c>
      <c r="C26" s="2">
        <f>_xlfn.XLOOKUP($C$2,excel_project[Contact_ID],excel_project[Your Stickers],"Not Found")</f>
        <v>0</v>
      </c>
    </row>
    <row r="27" spans="2:3">
      <c r="B27" s="1" t="s">
        <v>22</v>
      </c>
      <c r="C27" s="2">
        <f>_xlfn.XLOOKUP($C$2,excel_project[Contact_ID],excel_project[My Emojis],"Not Found")</f>
        <v>0</v>
      </c>
    </row>
    <row r="28" spans="2:3">
      <c r="B28" s="1" t="s">
        <v>23</v>
      </c>
      <c r="C28" s="2">
        <f>_xlfn.XLOOKUP($C$2,excel_project[Contact_ID],excel_project[Your Emojis],"Not Found")</f>
        <v>0</v>
      </c>
    </row>
    <row r="29" spans="2:3">
      <c r="B29" s="1" t="s">
        <v>24</v>
      </c>
      <c r="C29" s="2">
        <f>_xlfn.XLOOKUP($C$2,excel_project[Contact_ID],excel_project[Links Sent],"Not Found")</f>
        <v>0</v>
      </c>
    </row>
    <row r="30" spans="2:3">
      <c r="B30" s="1" t="s">
        <v>25</v>
      </c>
      <c r="C30" s="2">
        <f>_xlfn.XLOOKUP($C$2,excel_project[Contact_ID],excel_project[Links Received],"Not Found")</f>
        <v>0</v>
      </c>
    </row>
    <row r="31" spans="2:3">
      <c r="B31" s="1" t="s">
        <v>26</v>
      </c>
      <c r="C31" s="2">
        <f>_xlfn.XLOOKUP($C$2,excel_project[Contact_ID],excel_project[Media Sent],"Not Found")</f>
        <v>2</v>
      </c>
    </row>
    <row r="32" spans="2:3">
      <c r="B32" s="1" t="s">
        <v>27</v>
      </c>
      <c r="C32" s="2">
        <f>_xlfn.XLOOKUP($C$2,excel_project[Contact_ID],excel_project[Media Received],"Not Found")</f>
        <v>0</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C030848-0407-4A66-9819-2E9E0ABB49DB}">
          <x14:formula1>
            <xm:f>Summary!$A$2:$A$96</xm:f>
          </x14:formula1>
          <xm:sqref>C2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50C1-EBAB-48A6-986B-E622E4ABB8BE}">
  <dimension ref="A1:C96"/>
  <sheetViews>
    <sheetView workbookViewId="0">
      <selection activeCell="F13" sqref="F13"/>
    </sheetView>
  </sheetViews>
  <sheetFormatPr defaultRowHeight="14.4"/>
  <cols>
    <col min="1" max="1" width="10" customWidth="1"/>
    <col min="2" max="2" width="13.33203125" customWidth="1"/>
    <col min="3" max="3" width="13.6640625" customWidth="1"/>
  </cols>
  <sheetData>
    <row r="1" spans="1:3">
      <c r="A1" t="s">
        <v>0</v>
      </c>
      <c r="B1" t="s">
        <v>4</v>
      </c>
      <c r="C1" t="s">
        <v>151</v>
      </c>
    </row>
    <row r="2" spans="1:3">
      <c r="A2" t="str" cm="1">
        <f t="array" ref="A2:B96">_xlfn._xlws.SORT(CHOOSE({1,2},excel_project[Contact_ID],excel_project[Total Messages]),2,-1)</f>
        <v>12M</v>
      </c>
      <c r="B2">
        <v>2420</v>
      </c>
      <c r="C2" cm="1">
        <f t="array" ref="C2:C96">_xlfn.SEQUENCE(95)</f>
        <v>1</v>
      </c>
    </row>
    <row r="3" spans="1:3">
      <c r="A3" t="str">
        <v>15M</v>
      </c>
      <c r="B3">
        <v>1645</v>
      </c>
      <c r="C3">
        <v>2</v>
      </c>
    </row>
    <row r="4" spans="1:3">
      <c r="A4" t="str">
        <v>2M</v>
      </c>
      <c r="B4">
        <v>1457</v>
      </c>
      <c r="C4">
        <v>3</v>
      </c>
    </row>
    <row r="5" spans="1:3">
      <c r="A5" t="str">
        <v>52M</v>
      </c>
      <c r="B5">
        <v>1036</v>
      </c>
      <c r="C5">
        <v>4</v>
      </c>
    </row>
    <row r="6" spans="1:3">
      <c r="A6" t="str">
        <v>9M</v>
      </c>
      <c r="B6">
        <v>732</v>
      </c>
      <c r="C6">
        <v>5</v>
      </c>
    </row>
    <row r="7" spans="1:3">
      <c r="A7" t="str">
        <v>18M</v>
      </c>
      <c r="B7">
        <v>732</v>
      </c>
      <c r="C7">
        <v>6</v>
      </c>
    </row>
    <row r="8" spans="1:3">
      <c r="A8" t="str">
        <v>19M</v>
      </c>
      <c r="B8">
        <v>414</v>
      </c>
      <c r="C8">
        <v>7</v>
      </c>
    </row>
    <row r="9" spans="1:3">
      <c r="A9" t="str">
        <v>4F</v>
      </c>
      <c r="B9">
        <v>370</v>
      </c>
      <c r="C9">
        <v>8</v>
      </c>
    </row>
    <row r="10" spans="1:3">
      <c r="A10" t="str">
        <v>16M</v>
      </c>
      <c r="B10">
        <v>363</v>
      </c>
      <c r="C10">
        <v>9</v>
      </c>
    </row>
    <row r="11" spans="1:3">
      <c r="A11" t="str">
        <v>6M</v>
      </c>
      <c r="B11">
        <v>329</v>
      </c>
      <c r="C11">
        <v>10</v>
      </c>
    </row>
    <row r="12" spans="1:3">
      <c r="A12" t="str">
        <v>43M</v>
      </c>
      <c r="B12">
        <v>288</v>
      </c>
      <c r="C12">
        <v>11</v>
      </c>
    </row>
    <row r="13" spans="1:3">
      <c r="A13" t="str">
        <v>40M</v>
      </c>
      <c r="B13">
        <v>246</v>
      </c>
      <c r="C13">
        <v>12</v>
      </c>
    </row>
    <row r="14" spans="1:3">
      <c r="A14" t="str">
        <v>20M</v>
      </c>
      <c r="B14">
        <v>239</v>
      </c>
      <c r="C14">
        <v>13</v>
      </c>
    </row>
    <row r="15" spans="1:3">
      <c r="A15" t="str">
        <v>3F</v>
      </c>
      <c r="B15">
        <v>210</v>
      </c>
      <c r="C15">
        <v>14</v>
      </c>
    </row>
    <row r="16" spans="1:3">
      <c r="A16" t="str">
        <v>88M</v>
      </c>
      <c r="B16">
        <v>201</v>
      </c>
      <c r="C16">
        <v>15</v>
      </c>
    </row>
    <row r="17" spans="1:3">
      <c r="A17" t="str">
        <v>1M</v>
      </c>
      <c r="B17">
        <v>183</v>
      </c>
      <c r="C17">
        <v>16</v>
      </c>
    </row>
    <row r="18" spans="1:3">
      <c r="A18" t="str">
        <v>38M</v>
      </c>
      <c r="B18">
        <v>178</v>
      </c>
      <c r="C18">
        <v>17</v>
      </c>
    </row>
    <row r="19" spans="1:3">
      <c r="A19" t="str">
        <v>56M</v>
      </c>
      <c r="B19">
        <v>177</v>
      </c>
      <c r="C19">
        <v>18</v>
      </c>
    </row>
    <row r="20" spans="1:3">
      <c r="A20" t="str">
        <v>22M</v>
      </c>
      <c r="B20">
        <v>173</v>
      </c>
      <c r="C20">
        <v>19</v>
      </c>
    </row>
    <row r="21" spans="1:3">
      <c r="A21" t="str">
        <v>37M</v>
      </c>
      <c r="B21">
        <v>152</v>
      </c>
      <c r="C21">
        <v>20</v>
      </c>
    </row>
    <row r="22" spans="1:3">
      <c r="A22" t="str">
        <v>46M</v>
      </c>
      <c r="B22">
        <v>145</v>
      </c>
      <c r="C22">
        <v>21</v>
      </c>
    </row>
    <row r="23" spans="1:3">
      <c r="A23" t="str">
        <v>11M</v>
      </c>
      <c r="B23">
        <v>123</v>
      </c>
      <c r="C23">
        <v>22</v>
      </c>
    </row>
    <row r="24" spans="1:3">
      <c r="A24" t="str">
        <v>27M</v>
      </c>
      <c r="B24">
        <v>121</v>
      </c>
      <c r="C24">
        <v>23</v>
      </c>
    </row>
    <row r="25" spans="1:3">
      <c r="A25" t="str">
        <v>24M</v>
      </c>
      <c r="B25">
        <v>118</v>
      </c>
      <c r="C25">
        <v>24</v>
      </c>
    </row>
    <row r="26" spans="1:3">
      <c r="A26" t="str">
        <v>36M</v>
      </c>
      <c r="B26">
        <v>101</v>
      </c>
      <c r="C26">
        <v>25</v>
      </c>
    </row>
    <row r="27" spans="1:3">
      <c r="A27" t="str">
        <v>73M</v>
      </c>
      <c r="B27">
        <v>91</v>
      </c>
      <c r="C27">
        <v>26</v>
      </c>
    </row>
    <row r="28" spans="1:3">
      <c r="A28" t="str">
        <v>14M</v>
      </c>
      <c r="B28">
        <v>81</v>
      </c>
      <c r="C28">
        <v>27</v>
      </c>
    </row>
    <row r="29" spans="1:3">
      <c r="A29" t="str">
        <v>41F</v>
      </c>
      <c r="B29">
        <v>76</v>
      </c>
      <c r="C29">
        <v>28</v>
      </c>
    </row>
    <row r="30" spans="1:3">
      <c r="A30" t="str">
        <v>59F</v>
      </c>
      <c r="B30">
        <v>69</v>
      </c>
      <c r="C30">
        <v>29</v>
      </c>
    </row>
    <row r="31" spans="1:3">
      <c r="A31" t="str">
        <v>85M</v>
      </c>
      <c r="B31">
        <v>69</v>
      </c>
      <c r="C31">
        <v>30</v>
      </c>
    </row>
    <row r="32" spans="1:3">
      <c r="A32" t="str">
        <v>79M</v>
      </c>
      <c r="B32">
        <v>66</v>
      </c>
      <c r="C32">
        <v>31</v>
      </c>
    </row>
    <row r="33" spans="1:3">
      <c r="A33" t="str">
        <v>35M</v>
      </c>
      <c r="B33">
        <v>63</v>
      </c>
      <c r="C33">
        <v>32</v>
      </c>
    </row>
    <row r="34" spans="1:3">
      <c r="A34" t="str">
        <v>48F</v>
      </c>
      <c r="B34">
        <v>57</v>
      </c>
      <c r="C34">
        <v>33</v>
      </c>
    </row>
    <row r="35" spans="1:3">
      <c r="A35" t="str">
        <v>21M</v>
      </c>
      <c r="B35">
        <v>55</v>
      </c>
      <c r="C35">
        <v>34</v>
      </c>
    </row>
    <row r="36" spans="1:3">
      <c r="A36" t="str">
        <v>17M</v>
      </c>
      <c r="B36">
        <v>54</v>
      </c>
      <c r="C36">
        <v>35</v>
      </c>
    </row>
    <row r="37" spans="1:3">
      <c r="A37" t="str">
        <v>44M</v>
      </c>
      <c r="B37">
        <v>54</v>
      </c>
      <c r="C37">
        <v>36</v>
      </c>
    </row>
    <row r="38" spans="1:3">
      <c r="A38" t="str">
        <v>10M</v>
      </c>
      <c r="B38">
        <v>50</v>
      </c>
      <c r="C38">
        <v>37</v>
      </c>
    </row>
    <row r="39" spans="1:3">
      <c r="A39" t="str">
        <v>29M</v>
      </c>
      <c r="B39">
        <v>50</v>
      </c>
      <c r="C39">
        <v>38</v>
      </c>
    </row>
    <row r="40" spans="1:3">
      <c r="A40" t="str">
        <v>5M</v>
      </c>
      <c r="B40">
        <v>48</v>
      </c>
      <c r="C40">
        <v>39</v>
      </c>
    </row>
    <row r="41" spans="1:3">
      <c r="A41" t="str">
        <v>50M</v>
      </c>
      <c r="B41">
        <v>48</v>
      </c>
      <c r="C41">
        <v>40</v>
      </c>
    </row>
    <row r="42" spans="1:3">
      <c r="A42" t="str">
        <v>77M</v>
      </c>
      <c r="B42">
        <v>46</v>
      </c>
      <c r="C42">
        <v>41</v>
      </c>
    </row>
    <row r="43" spans="1:3">
      <c r="A43" t="str">
        <v>68M</v>
      </c>
      <c r="B43">
        <v>45</v>
      </c>
      <c r="C43">
        <v>42</v>
      </c>
    </row>
    <row r="44" spans="1:3">
      <c r="A44" t="str">
        <v>49M</v>
      </c>
      <c r="B44">
        <v>39</v>
      </c>
      <c r="C44">
        <v>43</v>
      </c>
    </row>
    <row r="45" spans="1:3">
      <c r="A45" t="str">
        <v>25M</v>
      </c>
      <c r="B45">
        <v>37</v>
      </c>
      <c r="C45">
        <v>44</v>
      </c>
    </row>
    <row r="46" spans="1:3">
      <c r="A46" t="str">
        <v>61M</v>
      </c>
      <c r="B46">
        <v>37</v>
      </c>
      <c r="C46">
        <v>45</v>
      </c>
    </row>
    <row r="47" spans="1:3">
      <c r="A47" t="str">
        <v>28M</v>
      </c>
      <c r="B47">
        <v>36</v>
      </c>
      <c r="C47">
        <v>46</v>
      </c>
    </row>
    <row r="48" spans="1:3">
      <c r="A48" t="str">
        <v>54M</v>
      </c>
      <c r="B48">
        <v>31</v>
      </c>
      <c r="C48">
        <v>47</v>
      </c>
    </row>
    <row r="49" spans="1:3">
      <c r="A49" t="str">
        <v>13M</v>
      </c>
      <c r="B49">
        <v>29</v>
      </c>
      <c r="C49">
        <v>48</v>
      </c>
    </row>
    <row r="50" spans="1:3">
      <c r="A50" t="str">
        <v>47M</v>
      </c>
      <c r="B50">
        <v>28</v>
      </c>
      <c r="C50">
        <v>49</v>
      </c>
    </row>
    <row r="51" spans="1:3">
      <c r="A51" t="str">
        <v>39M</v>
      </c>
      <c r="B51">
        <v>27</v>
      </c>
      <c r="C51">
        <v>50</v>
      </c>
    </row>
    <row r="52" spans="1:3">
      <c r="A52" t="str">
        <v>63M</v>
      </c>
      <c r="B52">
        <v>26</v>
      </c>
      <c r="C52">
        <v>51</v>
      </c>
    </row>
    <row r="53" spans="1:3">
      <c r="A53" t="str">
        <v>30M</v>
      </c>
      <c r="B53">
        <v>25</v>
      </c>
      <c r="C53">
        <v>52</v>
      </c>
    </row>
    <row r="54" spans="1:3">
      <c r="A54" t="str">
        <v>34M</v>
      </c>
      <c r="B54">
        <v>22</v>
      </c>
      <c r="C54">
        <v>53</v>
      </c>
    </row>
    <row r="55" spans="1:3">
      <c r="A55" t="str">
        <v>8M</v>
      </c>
      <c r="B55">
        <v>20</v>
      </c>
      <c r="C55">
        <v>54</v>
      </c>
    </row>
    <row r="56" spans="1:3">
      <c r="A56" t="str">
        <v>23M</v>
      </c>
      <c r="B56">
        <v>20</v>
      </c>
      <c r="C56">
        <v>55</v>
      </c>
    </row>
    <row r="57" spans="1:3">
      <c r="A57" t="str">
        <v>32M</v>
      </c>
      <c r="B57">
        <v>20</v>
      </c>
      <c r="C57">
        <v>56</v>
      </c>
    </row>
    <row r="58" spans="1:3">
      <c r="A58" t="str">
        <v>33M</v>
      </c>
      <c r="B58">
        <v>18</v>
      </c>
      <c r="C58">
        <v>57</v>
      </c>
    </row>
    <row r="59" spans="1:3">
      <c r="A59" t="str">
        <v>89F</v>
      </c>
      <c r="B59">
        <v>18</v>
      </c>
      <c r="C59">
        <v>58</v>
      </c>
    </row>
    <row r="60" spans="1:3">
      <c r="A60" t="str">
        <v>31M</v>
      </c>
      <c r="B60">
        <v>17</v>
      </c>
      <c r="C60">
        <v>59</v>
      </c>
    </row>
    <row r="61" spans="1:3">
      <c r="A61" t="str">
        <v>66M</v>
      </c>
      <c r="B61">
        <v>17</v>
      </c>
      <c r="C61">
        <v>60</v>
      </c>
    </row>
    <row r="62" spans="1:3">
      <c r="A62" t="str">
        <v>67M</v>
      </c>
      <c r="B62">
        <v>17</v>
      </c>
      <c r="C62">
        <v>61</v>
      </c>
    </row>
    <row r="63" spans="1:3">
      <c r="A63" t="str">
        <v>7M</v>
      </c>
      <c r="B63">
        <v>16</v>
      </c>
      <c r="C63">
        <v>62</v>
      </c>
    </row>
    <row r="64" spans="1:3">
      <c r="A64" t="str">
        <v>86F</v>
      </c>
      <c r="B64">
        <v>15</v>
      </c>
      <c r="C64">
        <v>63</v>
      </c>
    </row>
    <row r="65" spans="1:3">
      <c r="A65" t="str">
        <v>55M</v>
      </c>
      <c r="B65">
        <v>14</v>
      </c>
      <c r="C65">
        <v>64</v>
      </c>
    </row>
    <row r="66" spans="1:3">
      <c r="A66" t="str">
        <v>71F</v>
      </c>
      <c r="B66">
        <v>12</v>
      </c>
      <c r="C66">
        <v>65</v>
      </c>
    </row>
    <row r="67" spans="1:3">
      <c r="A67" t="str">
        <v>58F</v>
      </c>
      <c r="B67">
        <v>10</v>
      </c>
      <c r="C67">
        <v>66</v>
      </c>
    </row>
    <row r="68" spans="1:3">
      <c r="A68" t="str">
        <v>60M</v>
      </c>
      <c r="B68">
        <v>8</v>
      </c>
      <c r="C68">
        <v>67</v>
      </c>
    </row>
    <row r="69" spans="1:3">
      <c r="A69" t="str">
        <v>74M</v>
      </c>
      <c r="B69">
        <v>8</v>
      </c>
      <c r="C69">
        <v>68</v>
      </c>
    </row>
    <row r="70" spans="1:3">
      <c r="A70" t="str">
        <v>26M</v>
      </c>
      <c r="B70">
        <v>7</v>
      </c>
      <c r="C70">
        <v>69</v>
      </c>
    </row>
    <row r="71" spans="1:3">
      <c r="A71" t="str">
        <v>76M</v>
      </c>
      <c r="B71">
        <v>7</v>
      </c>
      <c r="C71">
        <v>70</v>
      </c>
    </row>
    <row r="72" spans="1:3">
      <c r="A72" t="str">
        <v>57M</v>
      </c>
      <c r="B72">
        <v>6</v>
      </c>
      <c r="C72">
        <v>71</v>
      </c>
    </row>
    <row r="73" spans="1:3">
      <c r="A73" t="str">
        <v>72F</v>
      </c>
      <c r="B73">
        <v>6</v>
      </c>
      <c r="C73">
        <v>72</v>
      </c>
    </row>
    <row r="74" spans="1:3">
      <c r="A74" t="str">
        <v>42M</v>
      </c>
      <c r="B74">
        <v>5</v>
      </c>
      <c r="C74">
        <v>73</v>
      </c>
    </row>
    <row r="75" spans="1:3">
      <c r="A75" t="str">
        <v>62M</v>
      </c>
      <c r="B75">
        <v>5</v>
      </c>
      <c r="C75">
        <v>74</v>
      </c>
    </row>
    <row r="76" spans="1:3">
      <c r="A76" t="str">
        <v>64M</v>
      </c>
      <c r="B76">
        <v>5</v>
      </c>
      <c r="C76">
        <v>75</v>
      </c>
    </row>
    <row r="77" spans="1:3">
      <c r="A77" t="str">
        <v>80M</v>
      </c>
      <c r="B77">
        <v>5</v>
      </c>
      <c r="C77">
        <v>76</v>
      </c>
    </row>
    <row r="78" spans="1:3">
      <c r="A78" t="str">
        <v>84M</v>
      </c>
      <c r="B78">
        <v>5</v>
      </c>
      <c r="C78">
        <v>77</v>
      </c>
    </row>
    <row r="79" spans="1:3">
      <c r="A79" t="str">
        <v>87M</v>
      </c>
      <c r="B79">
        <v>5</v>
      </c>
      <c r="C79">
        <v>78</v>
      </c>
    </row>
    <row r="80" spans="1:3">
      <c r="A80" t="str">
        <v>45M</v>
      </c>
      <c r="B80">
        <v>4</v>
      </c>
      <c r="C80">
        <v>79</v>
      </c>
    </row>
    <row r="81" spans="1:3">
      <c r="A81" t="str">
        <v>51M</v>
      </c>
      <c r="B81">
        <v>4</v>
      </c>
      <c r="C81">
        <v>80</v>
      </c>
    </row>
    <row r="82" spans="1:3">
      <c r="A82" t="str">
        <v>53M</v>
      </c>
      <c r="B82">
        <v>4</v>
      </c>
      <c r="C82">
        <v>81</v>
      </c>
    </row>
    <row r="83" spans="1:3">
      <c r="A83" t="str">
        <v>70M</v>
      </c>
      <c r="B83">
        <v>2</v>
      </c>
      <c r="C83">
        <v>82</v>
      </c>
    </row>
    <row r="84" spans="1:3">
      <c r="A84" t="str">
        <v>75M</v>
      </c>
      <c r="B84">
        <v>2</v>
      </c>
      <c r="C84">
        <v>83</v>
      </c>
    </row>
    <row r="85" spans="1:3">
      <c r="A85" t="str">
        <v>78M</v>
      </c>
      <c r="B85">
        <v>2</v>
      </c>
      <c r="C85">
        <v>84</v>
      </c>
    </row>
    <row r="86" spans="1:3">
      <c r="A86" t="str">
        <v>81M</v>
      </c>
      <c r="B86">
        <v>2</v>
      </c>
      <c r="C86">
        <v>85</v>
      </c>
    </row>
    <row r="87" spans="1:3">
      <c r="A87" t="str">
        <v>82M</v>
      </c>
      <c r="B87">
        <v>2</v>
      </c>
      <c r="C87">
        <v>86</v>
      </c>
    </row>
    <row r="88" spans="1:3">
      <c r="A88" t="str">
        <v>90M</v>
      </c>
      <c r="B88">
        <v>2</v>
      </c>
      <c r="C88">
        <v>87</v>
      </c>
    </row>
    <row r="89" spans="1:3">
      <c r="A89" t="str">
        <v>65M</v>
      </c>
      <c r="B89">
        <v>1</v>
      </c>
      <c r="C89">
        <v>88</v>
      </c>
    </row>
    <row r="90" spans="1:3">
      <c r="A90" t="str">
        <v>69M</v>
      </c>
      <c r="B90">
        <v>1</v>
      </c>
      <c r="C90">
        <v>89</v>
      </c>
    </row>
    <row r="91" spans="1:3">
      <c r="A91" t="str">
        <v>83M</v>
      </c>
      <c r="B91">
        <v>1</v>
      </c>
      <c r="C91">
        <v>90</v>
      </c>
    </row>
    <row r="92" spans="1:3">
      <c r="A92" t="str">
        <v>91M</v>
      </c>
      <c r="B92">
        <v>1</v>
      </c>
      <c r="C92">
        <v>91</v>
      </c>
    </row>
    <row r="93" spans="1:3">
      <c r="A93" t="str">
        <v>92M</v>
      </c>
      <c r="B93">
        <v>1</v>
      </c>
      <c r="C93">
        <v>92</v>
      </c>
    </row>
    <row r="94" spans="1:3">
      <c r="A94" t="str">
        <v>93M</v>
      </c>
      <c r="B94">
        <v>1</v>
      </c>
      <c r="C94">
        <v>93</v>
      </c>
    </row>
    <row r="95" spans="1:3">
      <c r="A95" t="str">
        <v>94M</v>
      </c>
      <c r="B95">
        <v>1</v>
      </c>
      <c r="C95">
        <v>94</v>
      </c>
    </row>
    <row r="96" spans="1:3">
      <c r="A96" t="str">
        <v>95M</v>
      </c>
      <c r="B96">
        <v>1</v>
      </c>
      <c r="C96">
        <v>95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422FC4-7FBD-4C55-BFCC-76600130621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Pivot_Analysis</vt:lpstr>
      <vt:lpstr>Summary</vt:lpstr>
      <vt:lpstr>Analysis</vt:lpstr>
      <vt:lpstr>Dashboard</vt:lpstr>
      <vt:lpstr>Rank_Analysis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Uzair Hussain Rajpoot</dc:creator>
  <cp:lastModifiedBy>M Uzair Hussain Rajpoot</cp:lastModifiedBy>
  <dcterms:created xsi:type="dcterms:W3CDTF">2026-10-23T17:42:16Z</dcterms:created>
  <dcterms:modified xsi:type="dcterms:W3CDTF">2026-10-24T16:53:05Z</dcterms:modified>
</cp:coreProperties>
</file>