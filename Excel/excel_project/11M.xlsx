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3DB76155-6CF9-43E6-834B-91159B7ABBA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<sst xmlns="http://schemas.openxmlformats.org/spreadsheetml/2006/main" count="92" uniqueCount="40">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</sst>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6" sqref="K9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4</v>
      </c>
      <c r="D2" s="3">
        <v>3</v>
      </c>
      <c r="E2" s="3">
        <v>1</v>
      </c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5</v>
      </c>
      <c r="D8" s="3">
        <v>3</v>
      </c>
      <c r="E8" s="3">
        <v>2</v>
      </c>
      <c r="F8" s="3" t="s">
        <v>39</v>
      </c>
      <c r="G8" s="3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8</v>
      </c>
      <c r="D17" s="3">
        <v>5</v>
      </c>
      <c r="E17" s="3">
        <v>3</v>
      </c>
      <c r="F17" s="3" t="s">
        <v>38</v>
      </c>
      <c r="G17" s="3" t="s">
        <v>38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14</v>
      </c>
      <c r="D23" s="3">
        <v>10</v>
      </c>
      <c r="E23" s="3">
        <v>4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2</v>
      </c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6</v>
      </c>
      <c r="D27" s="3">
        <v>4</v>
      </c>
      <c r="E27" s="3">
        <v>2</v>
      </c>
      <c r="F27" s="3" t="s">
        <v>39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28</v>
      </c>
      <c r="D72" s="3">
        <v>16</v>
      </c>
      <c r="E72" s="3">
        <v>12</v>
      </c>
      <c r="F72" s="3" t="s">
        <v>38</v>
      </c>
      <c r="G72" s="3" t="s">
        <v>39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19</v>
      </c>
      <c r="D73" s="3">
        <v>12</v>
      </c>
      <c r="E73" s="3">
        <v>7</v>
      </c>
      <c r="F73" s="3" t="s">
        <v>38</v>
      </c>
      <c r="G73" s="3" t="s">
        <v>38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>
        <v>5</v>
      </c>
      <c r="D74" s="3">
        <v>3</v>
      </c>
      <c r="E74" s="3">
        <v>2</v>
      </c>
      <c r="F74" s="3" t="s">
        <v>38</v>
      </c>
      <c r="G74" s="3" t="s">
        <v>39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18</v>
      </c>
      <c r="D76" s="3">
        <v>5</v>
      </c>
      <c r="E76" s="3">
        <v>13</v>
      </c>
      <c r="F76" s="3" t="s">
        <v>38</v>
      </c>
      <c r="G76" s="3" t="s">
        <v>38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1</v>
      </c>
      <c r="D77" s="3">
        <v>1</v>
      </c>
      <c r="E77" s="3"/>
      <c r="F77" s="3" t="s">
        <v>38</v>
      </c>
      <c r="G77" s="3" t="s">
        <v>38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2</v>
      </c>
      <c r="D81" s="3">
        <v>1</v>
      </c>
      <c r="E81" s="3">
        <v>1</v>
      </c>
      <c r="F81" s="3" t="s">
        <v>39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9</v>
      </c>
      <c r="D83" s="3">
        <v>3</v>
      </c>
      <c r="E83" s="3">
        <v>6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2</v>
      </c>
      <c r="D96" s="3">
        <v>1</v>
      </c>
      <c r="E96" s="3">
        <v>1</v>
      </c>
      <c r="F96" s="3" t="s">
        <v>39</v>
      </c>
      <c r="G96" s="3" t="s">
        <v>38</v>
      </c>
      <c r="H96" s="3"/>
      <c r="I96" s="3"/>
      <c r="J96" s="3"/>
      <c r="K96" s="3">
        <v>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15</v>
      </c>
      <c r="C3" s="5"/>
    </row>
    <row r="4" spans="1:3" x14ac:dyDescent="0.3">
      <c r="A4" s="5" t="s">
        <v>31</v>
      </c>
      <c r="B4" s="5">
        <f>COUNTIF('WhatsApp Data'!F2:F111,"Me")</f>
        <v>11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12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123</v>
      </c>
      <c r="C10" s="6">
        <f t="shared" ref="C10:C33" si="0">IFERROR(B10/$B$2,0)</f>
        <v>1.1181818181818182</v>
      </c>
    </row>
    <row r="11" spans="1:3" x14ac:dyDescent="0.3">
      <c r="A11" s="5" t="s">
        <v>3</v>
      </c>
      <c r="B11" s="5">
        <f>SUM('WhatsApp Data'!D2:D111)</f>
        <v>69</v>
      </c>
      <c r="C11" s="6">
        <f t="shared" si="0"/>
        <v>0.62727272727272732</v>
      </c>
    </row>
    <row r="12" spans="1:3" x14ac:dyDescent="0.3">
      <c r="A12" s="5" t="s">
        <v>4</v>
      </c>
      <c r="B12" s="5">
        <f>SUM('WhatsApp Data'!E2:E111)</f>
        <v>54</v>
      </c>
      <c r="C12" s="6">
        <f t="shared" si="0"/>
        <v>0.49090909090909091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2026-10-11T19:51:37Z</dcterms:modified>
  <dc:language>en-US</dc:language>
</cp:coreProperties>
</file>