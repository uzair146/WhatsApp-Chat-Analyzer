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85BB6B6B-E6E9-4290-BD65-BBB8E8E4BD11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B30" i="2"/>
  <c r="B29" i="2"/>
  <c r="B28" i="2"/>
  <c r="B27" i="2"/>
  <c r="B26" i="2"/>
  <c r="C26" i="2" s="1"/>
  <c r="B25" i="2"/>
  <c r="B24" i="2"/>
  <c r="C24" i="2" s="1"/>
  <c r="B23" i="2"/>
  <c r="B22" i="2"/>
  <c r="C22" i="2" s="1"/>
  <c r="B21" i="2"/>
  <c r="B20" i="2"/>
  <c r="C20" i="2" s="1"/>
  <c r="B19" i="2"/>
  <c r="B18" i="2"/>
  <c r="C18" i="2" s="1"/>
  <c r="B17" i="2"/>
  <c r="B16" i="2"/>
  <c r="C16" i="2" s="1"/>
  <c r="B15" i="2"/>
  <c r="B14" i="2"/>
  <c r="C14" i="2" s="1"/>
  <c r="B13" i="2"/>
  <c r="B12" i="2"/>
  <c r="C12" i="2" s="1"/>
  <c r="B11" i="2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31" i="2" l="1"/>
  <c r="C28" i="2"/>
  <c r="C30" i="2"/>
  <c r="C11" i="2"/>
  <c r="C13" i="2"/>
  <c r="C15" i="2"/>
  <c r="C17" i="2"/>
  <c r="C19" i="2"/>
  <c r="C21" i="2"/>
  <c r="C23" i="2"/>
  <c r="C25" i="2"/>
  <c r="C27" i="2"/>
  <c r="C29" i="2"/>
</calcChain>
</file>

<file path=xl/sharedStrings.xml><?xml version="1.0" encoding="utf-8"?>
<sst xmlns="http://schemas.openxmlformats.org/spreadsheetml/2006/main" count="254" uniqueCount="41">
  <si>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</si>
  <si>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</si>
  <si>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</si>
  <si>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</si>
  <si>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</si>
  <si>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</si>
  <si>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</si>
  <si>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</si>
  <si>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</si>
  <si>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</si>
  <si>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</si>
  <si>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</si>
  <si>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</si>
  <si>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</si>
  <si>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</si>
  <si>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</si>
  <si>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</si>
  <si>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</si>
  <si>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</si>
  <si>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</si>
  <si>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</si>
  <si>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</si>
  <si>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</si>
  <si>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</si>
  <si>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</si>
  <si>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</si>
  <si>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</si>
  <si>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</si>
  <si>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</si>
  <si>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</si>
  <si>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</si>
  <si>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</si>
  <si>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</si>
  <si>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</si>
  <si>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</si>
  <si>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</si>
  <si>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</si>
  <si>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</si>
  <si>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</si>
  <si>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</si>
  <si>
    <t>yq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</si>
</sst>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93" activePane="bottomRight" state="frozen"/>
      <selection pane="topRight" activeCell="C1" sqref="C1"/>
      <selection pane="bottomLeft" activeCell="A2" sqref="A2"/>
      <selection pane="bottomRight" activeCell="H111" sqref="H11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>
        <v>51</v>
      </c>
      <c r="D3" s="3">
        <v>32</v>
      </c>
      <c r="E3" s="3">
        <v>19</v>
      </c>
      <c r="F3" s="3" t="s">
        <v>38</v>
      </c>
      <c r="G3" s="3" t="s">
        <v>39</v>
      </c>
      <c r="H3" s="3"/>
      <c r="I3" s="3"/>
      <c r="J3" s="3"/>
      <c r="K3" s="3">
        <v>1</v>
      </c>
      <c r="L3" s="3"/>
      <c r="M3" s="3"/>
      <c r="N3" s="3">
        <v>1</v>
      </c>
      <c r="O3" s="3"/>
      <c r="P3" s="3"/>
      <c r="Q3" s="3"/>
      <c r="R3" s="3"/>
      <c r="S3" s="3">
        <v>4</v>
      </c>
      <c r="T3" s="3">
        <v>2</v>
      </c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>
        <v>6</v>
      </c>
      <c r="D4" s="3">
        <v>5</v>
      </c>
      <c r="E4" s="3">
        <v>1</v>
      </c>
      <c r="F4" s="3" t="s">
        <v>39</v>
      </c>
      <c r="G4" s="3" t="s">
        <v>38</v>
      </c>
      <c r="H4" s="3"/>
      <c r="I4" s="3"/>
      <c r="J4" s="3"/>
      <c r="K4" s="3"/>
      <c r="L4" s="3"/>
      <c r="M4" s="3"/>
      <c r="N4" s="3">
        <v>3</v>
      </c>
      <c r="O4" s="3"/>
      <c r="P4" s="3"/>
      <c r="Q4" s="3"/>
      <c r="R4" s="3"/>
      <c r="S4" s="3"/>
      <c r="T4" s="3">
        <v>1</v>
      </c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>
        <v>5</v>
      </c>
      <c r="D5" s="3">
        <v>3</v>
      </c>
      <c r="E5" s="3">
        <v>2</v>
      </c>
      <c r="F5" s="3" t="s">
        <v>38</v>
      </c>
      <c r="G5" s="3" t="s">
        <v>38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>
        <v>1</v>
      </c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15</v>
      </c>
      <c r="D7" s="3">
        <v>7</v>
      </c>
      <c r="E7" s="3">
        <v>8</v>
      </c>
      <c r="F7" s="3" t="s">
        <v>39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>
        <v>1</v>
      </c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23</v>
      </c>
      <c r="D8" s="3">
        <v>14</v>
      </c>
      <c r="E8" s="3">
        <v>9</v>
      </c>
      <c r="F8" s="3" t="s">
        <v>38</v>
      </c>
      <c r="G8" s="3" t="s">
        <v>38</v>
      </c>
      <c r="H8" s="3"/>
      <c r="I8" s="3"/>
      <c r="J8" s="3">
        <v>1</v>
      </c>
      <c r="K8" s="3"/>
      <c r="L8" s="3"/>
      <c r="M8" s="3"/>
      <c r="N8" s="3"/>
      <c r="O8" s="3"/>
      <c r="P8" s="3"/>
      <c r="Q8" s="3">
        <v>1</v>
      </c>
      <c r="R8" s="3"/>
      <c r="S8" s="3">
        <v>1</v>
      </c>
      <c r="T8" s="3"/>
      <c r="U8" s="3"/>
      <c r="V8" s="3"/>
      <c r="W8" s="3"/>
      <c r="X8" s="3"/>
      <c r="Y8" s="3"/>
      <c r="Z8" s="3"/>
      <c r="AA8" s="3">
        <v>1</v>
      </c>
      <c r="AB8" s="3"/>
    </row>
    <row r="9" spans="1:28" x14ac:dyDescent="0.3">
      <c r="A9" s="2">
        <v>46048</v>
      </c>
      <c r="B9" s="3" t="str">
        <f t="shared" si="0"/>
        <v>Mon</v>
      </c>
      <c r="C9" s="3">
        <v>18</v>
      </c>
      <c r="D9" s="3">
        <v>7</v>
      </c>
      <c r="E9" s="3">
        <v>11</v>
      </c>
      <c r="F9" s="3" t="s">
        <v>39</v>
      </c>
      <c r="G9" s="3" t="s">
        <v>39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>
        <v>20</v>
      </c>
      <c r="D10" s="3">
        <v>8</v>
      </c>
      <c r="E10" s="3">
        <v>12</v>
      </c>
      <c r="F10" s="3" t="s">
        <v>39</v>
      </c>
      <c r="G10" s="3" t="s">
        <v>38</v>
      </c>
      <c r="H10" s="3">
        <v>1</v>
      </c>
      <c r="I10" s="3"/>
      <c r="J10" s="3"/>
      <c r="K10" s="3"/>
      <c r="L10" s="3"/>
      <c r="M10" s="3"/>
      <c r="N10" s="3">
        <v>5</v>
      </c>
      <c r="O10" s="3">
        <v>1</v>
      </c>
      <c r="P10" s="3">
        <v>0.05</v>
      </c>
      <c r="Q10" s="3"/>
      <c r="R10" s="3"/>
      <c r="S10" s="3"/>
      <c r="T10" s="3">
        <v>1</v>
      </c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>
        <v>34</v>
      </c>
      <c r="D11" s="3">
        <v>16</v>
      </c>
      <c r="E11" s="3">
        <v>18</v>
      </c>
      <c r="F11" s="3" t="s">
        <v>39</v>
      </c>
      <c r="G11" s="3" t="s">
        <v>38</v>
      </c>
      <c r="H11" s="3">
        <v>4</v>
      </c>
      <c r="I11" s="3"/>
      <c r="J11" s="3"/>
      <c r="K11" s="3"/>
      <c r="L11" s="3"/>
      <c r="M11" s="3"/>
      <c r="N11" s="3">
        <v>2</v>
      </c>
      <c r="O11" s="3"/>
      <c r="P11" s="3"/>
      <c r="Q11" s="3"/>
      <c r="R11" s="3">
        <v>1</v>
      </c>
      <c r="S11" s="3"/>
      <c r="T11" s="3">
        <v>1</v>
      </c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>
        <v>31</v>
      </c>
      <c r="D12" s="3">
        <v>16</v>
      </c>
      <c r="E12" s="3">
        <v>15</v>
      </c>
      <c r="F12" s="3" t="s">
        <v>39</v>
      </c>
      <c r="G12" s="3" t="s">
        <v>38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>
        <v>1</v>
      </c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>
        <v>8</v>
      </c>
      <c r="D13" s="3">
        <v>3</v>
      </c>
      <c r="E13" s="3">
        <v>5</v>
      </c>
      <c r="F13" s="3" t="s">
        <v>39</v>
      </c>
      <c r="G13" s="3" t="s">
        <v>39</v>
      </c>
      <c r="H13" s="3"/>
      <c r="I13" s="3"/>
      <c r="J13" s="3"/>
      <c r="K13" s="3"/>
      <c r="L13" s="3"/>
      <c r="M13" s="3"/>
      <c r="N13" s="3">
        <v>1</v>
      </c>
      <c r="O13" s="3"/>
      <c r="P13" s="3"/>
      <c r="Q13" s="3"/>
      <c r="R13" s="3">
        <v>1</v>
      </c>
      <c r="S13" s="3">
        <v>1</v>
      </c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>
        <v>16</v>
      </c>
      <c r="D14" s="3">
        <v>10</v>
      </c>
      <c r="E14" s="3">
        <v>6</v>
      </c>
      <c r="F14" s="3" t="s">
        <v>38</v>
      </c>
      <c r="G14" s="3" t="s">
        <v>39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>
        <v>1</v>
      </c>
      <c r="T14" s="3">
        <v>1</v>
      </c>
      <c r="U14" s="3"/>
      <c r="V14" s="3"/>
      <c r="W14" s="3"/>
      <c r="X14" s="3"/>
      <c r="Y14" s="3"/>
      <c r="Z14" s="3"/>
      <c r="AA14" s="3">
        <v>1</v>
      </c>
      <c r="AB14" s="3"/>
    </row>
    <row r="15" spans="1:28" x14ac:dyDescent="0.3">
      <c r="A15" s="2">
        <v>46054</v>
      </c>
      <c r="B15" s="3" t="str">
        <f t="shared" si="0"/>
        <v>Sun</v>
      </c>
      <c r="C15" s="3">
        <v>11</v>
      </c>
      <c r="D15" s="3">
        <v>6</v>
      </c>
      <c r="E15" s="3">
        <v>5</v>
      </c>
      <c r="F15" s="3" t="s">
        <v>38</v>
      </c>
      <c r="G15" s="3" t="s">
        <v>39</v>
      </c>
      <c r="H15" s="3"/>
      <c r="I15" s="3"/>
      <c r="J15" s="3"/>
      <c r="K15" s="3">
        <v>1</v>
      </c>
      <c r="L15" s="3"/>
      <c r="M15" s="3"/>
      <c r="N15" s="3"/>
      <c r="O15" s="3"/>
      <c r="P15" s="3"/>
      <c r="Q15" s="3"/>
      <c r="R15" s="3"/>
      <c r="S15" s="3">
        <v>1</v>
      </c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>
        <v>1</v>
      </c>
      <c r="D16" s="3"/>
      <c r="E16" s="3">
        <v>1</v>
      </c>
      <c r="F16" s="3" t="s">
        <v>39</v>
      </c>
      <c r="G16" s="3" t="s">
        <v>39</v>
      </c>
      <c r="H16" s="3"/>
      <c r="I16" s="3"/>
      <c r="J16" s="3"/>
      <c r="K16" s="3"/>
      <c r="L16" s="3"/>
      <c r="M16" s="3"/>
      <c r="N16" s="3">
        <v>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>
        <v>7</v>
      </c>
      <c r="D18" s="3">
        <v>3</v>
      </c>
      <c r="E18" s="3">
        <v>4</v>
      </c>
      <c r="F18" s="3" t="s">
        <v>39</v>
      </c>
      <c r="G18" s="3" t="s">
        <v>39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>
        <v>26</v>
      </c>
      <c r="D19" s="3">
        <v>17</v>
      </c>
      <c r="E19" s="3">
        <v>9</v>
      </c>
      <c r="F19" s="3" t="s">
        <v>39</v>
      </c>
      <c r="G19" s="3" t="s">
        <v>38</v>
      </c>
      <c r="H19" s="3"/>
      <c r="I19" s="3"/>
      <c r="J19" s="3"/>
      <c r="K19" s="3"/>
      <c r="L19" s="3"/>
      <c r="M19" s="3">
        <v>1</v>
      </c>
      <c r="N19" s="3">
        <v>2</v>
      </c>
      <c r="O19" s="3"/>
      <c r="P19" s="3">
        <v>6</v>
      </c>
      <c r="Q19" s="3"/>
      <c r="R19" s="3"/>
      <c r="S19" s="3">
        <v>1</v>
      </c>
      <c r="T19" s="3">
        <v>2</v>
      </c>
      <c r="U19" s="3"/>
      <c r="V19" s="3"/>
      <c r="W19" s="3"/>
      <c r="X19" s="3"/>
      <c r="Y19" s="3"/>
      <c r="Z19" s="3"/>
      <c r="AA19" s="3">
        <v>1</v>
      </c>
      <c r="AB19" s="3"/>
    </row>
    <row r="20" spans="1:28" x14ac:dyDescent="0.3">
      <c r="A20" s="2">
        <v>46059</v>
      </c>
      <c r="B20" s="3" t="str">
        <f t="shared" si="0"/>
        <v>Fri</v>
      </c>
      <c r="C20" s="3">
        <v>36</v>
      </c>
      <c r="D20" s="3">
        <v>19</v>
      </c>
      <c r="E20" s="3">
        <v>17</v>
      </c>
      <c r="F20" s="3" t="s">
        <v>39</v>
      </c>
      <c r="G20" s="3" t="s">
        <v>38</v>
      </c>
      <c r="H20" s="3"/>
      <c r="I20" s="3">
        <v>1</v>
      </c>
      <c r="J20" s="3"/>
      <c r="K20" s="3">
        <v>1</v>
      </c>
      <c r="L20" s="3"/>
      <c r="M20" s="3"/>
      <c r="N20" s="3">
        <v>2</v>
      </c>
      <c r="O20" s="3"/>
      <c r="P20" s="3"/>
      <c r="Q20" s="3">
        <v>1</v>
      </c>
      <c r="R20" s="3">
        <v>1</v>
      </c>
      <c r="S20" s="3"/>
      <c r="T20" s="3">
        <v>2</v>
      </c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>
        <v>25</v>
      </c>
      <c r="D22" s="3">
        <v>16</v>
      </c>
      <c r="E22" s="3">
        <v>9</v>
      </c>
      <c r="F22" s="3" t="s">
        <v>38</v>
      </c>
      <c r="G22" s="3" t="s">
        <v>38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>
        <v>2</v>
      </c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46</v>
      </c>
      <c r="D23" s="3">
        <v>23</v>
      </c>
      <c r="E23" s="3">
        <v>23</v>
      </c>
      <c r="F23" s="3" t="s">
        <v>39</v>
      </c>
      <c r="G23" s="3" t="s">
        <v>38</v>
      </c>
      <c r="H23" s="3"/>
      <c r="I23" s="3"/>
      <c r="J23" s="3">
        <v>1</v>
      </c>
      <c r="K23" s="3">
        <v>1</v>
      </c>
      <c r="L23" s="3"/>
      <c r="M23" s="3"/>
      <c r="N23" s="3">
        <v>7</v>
      </c>
      <c r="O23" s="3"/>
      <c r="P23" s="3"/>
      <c r="Q23" s="3">
        <v>1</v>
      </c>
      <c r="R23" s="3"/>
      <c r="S23" s="3">
        <v>1</v>
      </c>
      <c r="T23" s="3"/>
      <c r="U23" s="3"/>
      <c r="V23" s="3"/>
      <c r="W23" s="3"/>
      <c r="X23" s="3"/>
      <c r="Y23" s="3"/>
      <c r="Z23" s="3"/>
      <c r="AA23" s="3">
        <v>2</v>
      </c>
      <c r="AB23" s="3"/>
    </row>
    <row r="24" spans="1:28" x14ac:dyDescent="0.3">
      <c r="A24" s="2">
        <v>46063</v>
      </c>
      <c r="B24" s="3" t="str">
        <f t="shared" si="0"/>
        <v>Tue</v>
      </c>
      <c r="C24" s="3">
        <v>9</v>
      </c>
      <c r="D24" s="3">
        <v>4</v>
      </c>
      <c r="E24" s="3">
        <v>5</v>
      </c>
      <c r="F24" s="3" t="s">
        <v>39</v>
      </c>
      <c r="G24" s="3" t="s">
        <v>38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>
        <v>1</v>
      </c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>
        <v>118</v>
      </c>
      <c r="D25" s="3">
        <v>39</v>
      </c>
      <c r="E25" s="3">
        <v>79</v>
      </c>
      <c r="F25" s="3" t="s">
        <v>39</v>
      </c>
      <c r="G25" s="3" t="s">
        <v>39</v>
      </c>
      <c r="H25" s="3"/>
      <c r="I25" s="3">
        <v>1</v>
      </c>
      <c r="J25" s="3">
        <v>1</v>
      </c>
      <c r="K25" s="3"/>
      <c r="L25" s="3"/>
      <c r="M25" s="3"/>
      <c r="N25" s="3">
        <v>3</v>
      </c>
      <c r="O25" s="3"/>
      <c r="P25" s="3"/>
      <c r="Q25" s="3"/>
      <c r="R25" s="3"/>
      <c r="S25" s="3"/>
      <c r="T25" s="3">
        <v>4</v>
      </c>
      <c r="U25" s="3"/>
      <c r="V25" s="3"/>
      <c r="W25" s="3"/>
      <c r="X25" s="3">
        <v>1</v>
      </c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>
        <v>11</v>
      </c>
      <c r="D26" s="3">
        <v>4</v>
      </c>
      <c r="E26" s="3">
        <v>7</v>
      </c>
      <c r="F26" s="3" t="s">
        <v>39</v>
      </c>
      <c r="G26" s="3" t="s">
        <v>38</v>
      </c>
      <c r="H26" s="3"/>
      <c r="I26" s="3"/>
      <c r="J26" s="3"/>
      <c r="K26" s="3"/>
      <c r="L26" s="3"/>
      <c r="M26" s="3"/>
      <c r="N26" s="3">
        <v>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>
        <v>5</v>
      </c>
      <c r="D27" s="3">
        <v>2</v>
      </c>
      <c r="E27" s="3">
        <v>3</v>
      </c>
      <c r="F27" s="3" t="s">
        <v>39</v>
      </c>
      <c r="G27" s="3" t="s">
        <v>39</v>
      </c>
      <c r="H27" s="3"/>
      <c r="I27" s="3"/>
      <c r="J27" s="3"/>
      <c r="K27" s="3"/>
      <c r="L27" s="3"/>
      <c r="M27" s="3"/>
      <c r="N27" s="3"/>
      <c r="O27" s="3"/>
      <c r="P27" s="3"/>
      <c r="Q27" s="3">
        <v>1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>
        <v>29</v>
      </c>
      <c r="D28" s="3">
        <v>18</v>
      </c>
      <c r="E28" s="3">
        <v>11</v>
      </c>
      <c r="F28" s="3" t="s">
        <v>38</v>
      </c>
      <c r="G28" s="3" t="s">
        <v>38</v>
      </c>
      <c r="H28" s="3"/>
      <c r="I28" s="3"/>
      <c r="J28" s="3"/>
      <c r="K28" s="3">
        <v>1</v>
      </c>
      <c r="L28" s="3"/>
      <c r="M28" s="3"/>
      <c r="N28" s="3">
        <v>4</v>
      </c>
      <c r="O28" s="3"/>
      <c r="P28" s="3"/>
      <c r="Q28" s="3"/>
      <c r="R28" s="3"/>
      <c r="S28" s="3"/>
      <c r="T28" s="3">
        <v>1</v>
      </c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>
        <v>21</v>
      </c>
      <c r="D29" s="3">
        <v>13</v>
      </c>
      <c r="E29" s="3">
        <v>8</v>
      </c>
      <c r="F29" s="3" t="s">
        <v>39</v>
      </c>
      <c r="G29" s="3" t="s">
        <v>39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>
        <v>1</v>
      </c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>
        <v>9</v>
      </c>
      <c r="D30" s="3">
        <v>8</v>
      </c>
      <c r="E30" s="3">
        <v>1</v>
      </c>
      <c r="F30" s="3" t="s">
        <v>38</v>
      </c>
      <c r="G30" s="3" t="s">
        <v>38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>
        <v>1</v>
      </c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>
        <v>61</v>
      </c>
      <c r="D31" s="3">
        <v>26</v>
      </c>
      <c r="E31" s="3">
        <v>35</v>
      </c>
      <c r="F31" s="3" t="s">
        <v>38</v>
      </c>
      <c r="G31" s="3" t="s">
        <v>39</v>
      </c>
      <c r="H31" s="3"/>
      <c r="I31" s="3"/>
      <c r="J31" s="3"/>
      <c r="K31" s="3">
        <v>2</v>
      </c>
      <c r="L31" s="3">
        <v>1</v>
      </c>
      <c r="M31" s="3">
        <v>1</v>
      </c>
      <c r="N31" s="3">
        <v>3</v>
      </c>
      <c r="O31" s="3">
        <v>2</v>
      </c>
      <c r="P31" s="3">
        <v>4.05</v>
      </c>
      <c r="Q31" s="3">
        <v>3</v>
      </c>
      <c r="R31" s="3"/>
      <c r="S31" s="3">
        <v>1</v>
      </c>
      <c r="T31" s="3"/>
      <c r="U31" s="3"/>
      <c r="V31" s="3"/>
      <c r="W31" s="3"/>
      <c r="X31" s="3">
        <v>1</v>
      </c>
      <c r="Y31" s="3"/>
      <c r="Z31" s="3"/>
      <c r="AA31" s="3"/>
      <c r="AB31" s="3">
        <v>1</v>
      </c>
    </row>
    <row r="32" spans="1:28" x14ac:dyDescent="0.3">
      <c r="A32" s="2">
        <v>46071</v>
      </c>
      <c r="B32" s="3" t="str">
        <f t="shared" si="0"/>
        <v>Wed</v>
      </c>
      <c r="C32" s="3">
        <v>34</v>
      </c>
      <c r="D32" s="3">
        <v>15</v>
      </c>
      <c r="E32" s="3">
        <v>19</v>
      </c>
      <c r="F32" s="3" t="s">
        <v>39</v>
      </c>
      <c r="G32" s="3" t="s">
        <v>39</v>
      </c>
      <c r="H32" s="3"/>
      <c r="I32" s="3"/>
      <c r="J32" s="3"/>
      <c r="K32" s="3">
        <v>1</v>
      </c>
      <c r="L32" s="3">
        <v>1</v>
      </c>
      <c r="M32" s="3"/>
      <c r="N32" s="3">
        <v>1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>
        <v>34</v>
      </c>
      <c r="D33" s="3">
        <v>10</v>
      </c>
      <c r="E33" s="3">
        <v>24</v>
      </c>
      <c r="F33" s="3" t="s">
        <v>39</v>
      </c>
      <c r="G33" s="3" t="s">
        <v>39</v>
      </c>
      <c r="H33" s="3"/>
      <c r="I33" s="3"/>
      <c r="J33" s="3">
        <v>1</v>
      </c>
      <c r="K33" s="3"/>
      <c r="L33" s="3"/>
      <c r="M33" s="3"/>
      <c r="N33" s="3">
        <v>4</v>
      </c>
      <c r="O33" s="3"/>
      <c r="P33" s="3"/>
      <c r="Q33" s="3"/>
      <c r="R33" s="3"/>
      <c r="S33" s="3"/>
      <c r="T33" s="3"/>
      <c r="U33" s="3"/>
      <c r="V33" s="3"/>
      <c r="W33" s="3"/>
      <c r="X33" s="3">
        <v>2</v>
      </c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>
        <v>72</v>
      </c>
      <c r="D34" s="3">
        <v>45</v>
      </c>
      <c r="E34" s="3">
        <v>27</v>
      </c>
      <c r="F34" s="3" t="s">
        <v>38</v>
      </c>
      <c r="G34" s="3" t="s">
        <v>39</v>
      </c>
      <c r="H34" s="3"/>
      <c r="I34" s="3"/>
      <c r="J34" s="3"/>
      <c r="K34" s="3">
        <v>3</v>
      </c>
      <c r="L34" s="3"/>
      <c r="M34" s="3"/>
      <c r="N34" s="3"/>
      <c r="O34" s="3"/>
      <c r="P34" s="3"/>
      <c r="Q34" s="3"/>
      <c r="R34" s="3">
        <v>1</v>
      </c>
      <c r="S34" s="3"/>
      <c r="T34" s="3">
        <v>3</v>
      </c>
      <c r="U34" s="3"/>
      <c r="V34" s="3"/>
      <c r="W34" s="3"/>
      <c r="X34" s="3">
        <v>2</v>
      </c>
      <c r="Y34" s="3"/>
      <c r="Z34" s="3"/>
      <c r="AA34" s="3">
        <v>1</v>
      </c>
      <c r="AB34" s="3">
        <v>1</v>
      </c>
    </row>
    <row r="35" spans="1:28" x14ac:dyDescent="0.3">
      <c r="A35" s="2">
        <v>46074</v>
      </c>
      <c r="B35" s="3" t="str">
        <f t="shared" si="1"/>
        <v>Sat</v>
      </c>
      <c r="C35" s="3">
        <v>43</v>
      </c>
      <c r="D35" s="3">
        <v>18</v>
      </c>
      <c r="E35" s="3">
        <v>25</v>
      </c>
      <c r="F35" s="3" t="s">
        <v>39</v>
      </c>
      <c r="G35" s="3" t="s">
        <v>38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v>1</v>
      </c>
      <c r="S35" s="3"/>
      <c r="T35" s="3">
        <v>4</v>
      </c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>
        <v>79</v>
      </c>
      <c r="D36" s="3">
        <v>36</v>
      </c>
      <c r="E36" s="3">
        <v>43</v>
      </c>
      <c r="F36" s="3" t="s">
        <v>39</v>
      </c>
      <c r="G36" s="3" t="s">
        <v>39</v>
      </c>
      <c r="H36" s="3">
        <v>1</v>
      </c>
      <c r="I36" s="3">
        <v>1</v>
      </c>
      <c r="J36" s="3"/>
      <c r="K36" s="3"/>
      <c r="L36" s="3"/>
      <c r="M36" s="3"/>
      <c r="N36" s="3">
        <v>1</v>
      </c>
      <c r="O36" s="3">
        <v>1</v>
      </c>
      <c r="P36" s="3">
        <v>3</v>
      </c>
      <c r="Q36" s="3">
        <v>2</v>
      </c>
      <c r="R36" s="3"/>
      <c r="S36" s="3"/>
      <c r="T36" s="3">
        <v>4</v>
      </c>
      <c r="U36" s="3"/>
      <c r="V36" s="3"/>
      <c r="W36" s="3"/>
      <c r="X36" s="3"/>
      <c r="Y36" s="3">
        <v>2</v>
      </c>
      <c r="Z36" s="3"/>
      <c r="AA36" s="3">
        <v>1</v>
      </c>
      <c r="AB36" s="3"/>
    </row>
    <row r="37" spans="1:28" x14ac:dyDescent="0.3">
      <c r="A37" s="2">
        <v>46076</v>
      </c>
      <c r="B37" s="3" t="str">
        <f t="shared" si="1"/>
        <v>Mon</v>
      </c>
      <c r="C37" s="3">
        <v>29</v>
      </c>
      <c r="D37" s="3">
        <v>12</v>
      </c>
      <c r="E37" s="3">
        <v>17</v>
      </c>
      <c r="F37" s="3" t="s">
        <v>38</v>
      </c>
      <c r="G37" s="3" t="s">
        <v>39</v>
      </c>
      <c r="H37" s="3"/>
      <c r="I37" s="3"/>
      <c r="J37" s="3"/>
      <c r="K37" s="3">
        <v>2</v>
      </c>
      <c r="L37" s="3"/>
      <c r="M37" s="3"/>
      <c r="N37" s="3">
        <v>3</v>
      </c>
      <c r="O37" s="3"/>
      <c r="P37" s="3"/>
      <c r="Q37" s="3"/>
      <c r="R37" s="3"/>
      <c r="S37" s="3"/>
      <c r="T37" s="3">
        <v>1</v>
      </c>
      <c r="U37" s="3"/>
      <c r="V37" s="3"/>
      <c r="W37" s="3"/>
      <c r="X37" s="3"/>
      <c r="Y37" s="3"/>
      <c r="Z37" s="3">
        <v>1</v>
      </c>
      <c r="AA37" s="3">
        <v>1</v>
      </c>
      <c r="AB37" s="3"/>
    </row>
    <row r="38" spans="1:28" x14ac:dyDescent="0.3">
      <c r="A38" s="2">
        <v>46077</v>
      </c>
      <c r="B38" s="3" t="str">
        <f t="shared" si="1"/>
        <v>Tue</v>
      </c>
      <c r="C38" s="3">
        <v>3</v>
      </c>
      <c r="D38" s="3"/>
      <c r="E38" s="3">
        <v>3</v>
      </c>
      <c r="F38" s="3" t="s">
        <v>39</v>
      </c>
      <c r="G38" s="3" t="s">
        <v>39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>
        <v>5</v>
      </c>
      <c r="D39" s="3">
        <v>4</v>
      </c>
      <c r="E39" s="3">
        <v>1</v>
      </c>
      <c r="F39" s="3" t="s">
        <v>38</v>
      </c>
      <c r="G39" s="3" t="s">
        <v>38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>
        <v>1</v>
      </c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>
        <v>5</v>
      </c>
      <c r="D40" s="3">
        <v>3</v>
      </c>
      <c r="E40" s="3">
        <v>2</v>
      </c>
      <c r="F40" s="3" t="s">
        <v>39</v>
      </c>
      <c r="G40" s="3" t="s">
        <v>38</v>
      </c>
      <c r="H40" s="3"/>
      <c r="I40" s="3"/>
      <c r="J40" s="3"/>
      <c r="K40" s="3"/>
      <c r="L40" s="3"/>
      <c r="M40" s="3"/>
      <c r="N40" s="3"/>
      <c r="O40" s="3"/>
      <c r="P40" s="3"/>
      <c r="Q40" s="3">
        <v>1</v>
      </c>
      <c r="R40" s="3"/>
      <c r="S40" s="3"/>
      <c r="T40" s="3">
        <v>1</v>
      </c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>
        <v>17</v>
      </c>
      <c r="D41" s="3">
        <v>9</v>
      </c>
      <c r="E41" s="3">
        <v>8</v>
      </c>
      <c r="F41" s="3" t="s">
        <v>39</v>
      </c>
      <c r="G41" s="3" t="s">
        <v>39</v>
      </c>
      <c r="H41" s="3"/>
      <c r="I41" s="3"/>
      <c r="J41" s="3"/>
      <c r="K41" s="3"/>
      <c r="L41" s="3"/>
      <c r="M41" s="3"/>
      <c r="N41" s="3"/>
      <c r="O41" s="3">
        <v>1</v>
      </c>
      <c r="P41" s="3">
        <v>35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>
        <v>35</v>
      </c>
      <c r="D43" s="3">
        <v>22</v>
      </c>
      <c r="E43" s="3">
        <v>13</v>
      </c>
      <c r="F43" s="3" t="s">
        <v>39</v>
      </c>
      <c r="G43" s="3" t="s">
        <v>39</v>
      </c>
      <c r="H43" s="3"/>
      <c r="I43" s="3"/>
      <c r="J43" s="3"/>
      <c r="K43" s="3">
        <v>2</v>
      </c>
      <c r="L43" s="3"/>
      <c r="M43" s="3"/>
      <c r="N43" s="3"/>
      <c r="O43" s="3"/>
      <c r="P43" s="3"/>
      <c r="Q43" s="3"/>
      <c r="R43" s="3"/>
      <c r="S43" s="3">
        <v>1</v>
      </c>
      <c r="T43" s="3">
        <v>3</v>
      </c>
      <c r="U43" s="3"/>
      <c r="V43" s="3"/>
      <c r="W43" s="3"/>
      <c r="X43" s="3">
        <v>7</v>
      </c>
      <c r="Y43" s="3"/>
      <c r="Z43" s="3">
        <v>1</v>
      </c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6</v>
      </c>
      <c r="D44" s="3">
        <v>1</v>
      </c>
      <c r="E44" s="3">
        <v>5</v>
      </c>
      <c r="F44" s="3" t="s">
        <v>39</v>
      </c>
      <c r="G44" s="3" t="s">
        <v>39</v>
      </c>
      <c r="H44" s="3"/>
      <c r="I44" s="3"/>
      <c r="J44" s="3"/>
      <c r="K44" s="3"/>
      <c r="L44" s="3"/>
      <c r="M44" s="3"/>
      <c r="N44" s="3">
        <v>2</v>
      </c>
      <c r="O44" s="3"/>
      <c r="P44" s="3"/>
      <c r="Q44" s="3"/>
      <c r="R44" s="3"/>
      <c r="S44" s="3">
        <v>1</v>
      </c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>
        <v>57</v>
      </c>
      <c r="D45" s="3">
        <v>23</v>
      </c>
      <c r="E45" s="3">
        <v>34</v>
      </c>
      <c r="F45" s="3" t="s">
        <v>39</v>
      </c>
      <c r="G45" s="3" t="s">
        <v>38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>
        <v>1</v>
      </c>
      <c r="T45" s="3">
        <v>1</v>
      </c>
      <c r="U45" s="3"/>
      <c r="V45" s="3"/>
      <c r="W45" s="3"/>
      <c r="X45" s="3">
        <v>1</v>
      </c>
      <c r="Y45" s="3">
        <v>1</v>
      </c>
      <c r="Z45" s="3">
        <v>1</v>
      </c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>
        <v>20</v>
      </c>
      <c r="D46" s="3">
        <v>12</v>
      </c>
      <c r="E46" s="3">
        <v>8</v>
      </c>
      <c r="F46" s="3" t="s">
        <v>39</v>
      </c>
      <c r="G46" s="3" t="s">
        <v>38</v>
      </c>
      <c r="H46" s="3"/>
      <c r="I46" s="3"/>
      <c r="J46" s="3"/>
      <c r="K46" s="3"/>
      <c r="L46" s="3"/>
      <c r="M46" s="3"/>
      <c r="N46" s="3">
        <v>1</v>
      </c>
      <c r="O46" s="3"/>
      <c r="P46" s="3"/>
      <c r="Q46" s="3"/>
      <c r="R46" s="3"/>
      <c r="S46" s="3">
        <v>2</v>
      </c>
      <c r="T46" s="3">
        <v>1</v>
      </c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>
        <v>22</v>
      </c>
      <c r="D47" s="3">
        <v>11</v>
      </c>
      <c r="E47" s="3">
        <v>11</v>
      </c>
      <c r="F47" s="3" t="s">
        <v>38</v>
      </c>
      <c r="G47" s="3" t="s">
        <v>39</v>
      </c>
      <c r="H47" s="3"/>
      <c r="I47" s="3"/>
      <c r="J47" s="3"/>
      <c r="K47" s="3"/>
      <c r="L47" s="3">
        <v>1</v>
      </c>
      <c r="M47" s="3">
        <v>2</v>
      </c>
      <c r="N47" s="3">
        <v>3</v>
      </c>
      <c r="O47" s="3"/>
      <c r="P47" s="3">
        <v>1.37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>
        <v>9</v>
      </c>
      <c r="D48" s="3">
        <v>1</v>
      </c>
      <c r="E48" s="3">
        <v>8</v>
      </c>
      <c r="F48" s="3" t="s">
        <v>39</v>
      </c>
      <c r="G48" s="3" t="s">
        <v>39</v>
      </c>
      <c r="H48" s="3"/>
      <c r="I48" s="3"/>
      <c r="J48" s="3"/>
      <c r="K48" s="3"/>
      <c r="L48" s="3"/>
      <c r="M48" s="3"/>
      <c r="N48" s="3">
        <v>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22</v>
      </c>
      <c r="D49" s="3">
        <v>12</v>
      </c>
      <c r="E49" s="3">
        <v>10</v>
      </c>
      <c r="F49" s="3" t="s">
        <v>38</v>
      </c>
      <c r="G49" s="3" t="s">
        <v>38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>
        <v>2</v>
      </c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>
        <v>38</v>
      </c>
      <c r="D50" s="3">
        <v>23</v>
      </c>
      <c r="E50" s="3">
        <v>15</v>
      </c>
      <c r="F50" s="3" t="s">
        <v>39</v>
      </c>
      <c r="G50" s="3" t="s">
        <v>39</v>
      </c>
      <c r="H50" s="3"/>
      <c r="I50" s="3"/>
      <c r="J50" s="3"/>
      <c r="K50" s="3"/>
      <c r="L50" s="3">
        <v>3</v>
      </c>
      <c r="M50" s="3"/>
      <c r="N50" s="3">
        <v>1</v>
      </c>
      <c r="O50" s="3">
        <v>1</v>
      </c>
      <c r="P50" s="3">
        <v>0.42</v>
      </c>
      <c r="Q50" s="3"/>
      <c r="R50" s="3"/>
      <c r="S50" s="3">
        <v>1</v>
      </c>
      <c r="T50" s="3">
        <v>2</v>
      </c>
      <c r="U50" s="3"/>
      <c r="V50" s="3"/>
      <c r="W50" s="3"/>
      <c r="X50" s="3"/>
      <c r="Y50" s="3"/>
      <c r="Z50" s="3"/>
      <c r="AA50" s="3"/>
      <c r="AB50" s="3">
        <v>2</v>
      </c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>
        <v>5</v>
      </c>
      <c r="D52" s="3">
        <v>2</v>
      </c>
      <c r="E52" s="3">
        <v>3</v>
      </c>
      <c r="F52" s="3" t="s">
        <v>39</v>
      </c>
      <c r="G52" s="3" t="s">
        <v>39</v>
      </c>
      <c r="H52" s="3"/>
      <c r="I52" s="3"/>
      <c r="J52" s="3"/>
      <c r="K52" s="3">
        <v>1</v>
      </c>
      <c r="L52" s="3"/>
      <c r="M52" s="3"/>
      <c r="N52" s="3"/>
      <c r="O52" s="3"/>
      <c r="P52" s="3"/>
      <c r="Q52" s="3"/>
      <c r="R52" s="3">
        <v>1</v>
      </c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>
        <v>28</v>
      </c>
      <c r="D53" s="3">
        <v>18</v>
      </c>
      <c r="E53" s="3">
        <v>10</v>
      </c>
      <c r="F53" s="3" t="s">
        <v>39</v>
      </c>
      <c r="G53" s="3" t="s">
        <v>39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>
        <v>1</v>
      </c>
      <c r="D54" s="3">
        <v>1</v>
      </c>
      <c r="E54" s="3"/>
      <c r="F54" s="3" t="s">
        <v>38</v>
      </c>
      <c r="G54" s="3" t="s">
        <v>38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1</v>
      </c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>
        <v>20</v>
      </c>
      <c r="D55" s="3">
        <v>8</v>
      </c>
      <c r="E55" s="3">
        <v>12</v>
      </c>
      <c r="F55" s="3" t="s">
        <v>38</v>
      </c>
      <c r="G55" s="3" t="s">
        <v>39</v>
      </c>
      <c r="H55" s="3"/>
      <c r="I55" s="3"/>
      <c r="J55" s="3">
        <v>1</v>
      </c>
      <c r="K55" s="3"/>
      <c r="L55" s="3"/>
      <c r="M55" s="3"/>
      <c r="N55" s="3">
        <v>1</v>
      </c>
      <c r="O55" s="3">
        <v>2</v>
      </c>
      <c r="P55" s="3">
        <v>2.75</v>
      </c>
      <c r="Q55" s="3"/>
      <c r="R55" s="3">
        <v>1</v>
      </c>
      <c r="S55" s="3"/>
      <c r="T55" s="3"/>
      <c r="U55" s="3"/>
      <c r="V55" s="3"/>
      <c r="W55" s="3"/>
      <c r="X55" s="3">
        <v>1</v>
      </c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>
        <v>85</v>
      </c>
      <c r="D56" s="3">
        <v>42</v>
      </c>
      <c r="E56" s="3">
        <v>43</v>
      </c>
      <c r="F56" s="3" t="s">
        <v>39</v>
      </c>
      <c r="G56" s="3" t="s">
        <v>38</v>
      </c>
      <c r="H56" s="3"/>
      <c r="I56" s="3"/>
      <c r="J56" s="3">
        <v>3</v>
      </c>
      <c r="K56" s="3"/>
      <c r="L56" s="3"/>
      <c r="M56" s="3"/>
      <c r="N56" s="3">
        <v>2</v>
      </c>
      <c r="O56" s="3"/>
      <c r="P56" s="3"/>
      <c r="Q56" s="3">
        <v>1</v>
      </c>
      <c r="R56" s="3"/>
      <c r="S56" s="3"/>
      <c r="T56" s="3">
        <v>3</v>
      </c>
      <c r="U56" s="3"/>
      <c r="V56" s="3">
        <v>2</v>
      </c>
      <c r="W56" s="3"/>
      <c r="X56" s="3">
        <v>2</v>
      </c>
      <c r="Y56" s="3"/>
      <c r="Z56" s="3"/>
      <c r="AA56" s="3"/>
      <c r="AB56" s="3">
        <v>1</v>
      </c>
    </row>
    <row r="57" spans="1:28" x14ac:dyDescent="0.3">
      <c r="A57" s="2">
        <v>46096</v>
      </c>
      <c r="B57" s="3" t="str">
        <f t="shared" si="1"/>
        <v>Sun</v>
      </c>
      <c r="C57" s="3">
        <v>13</v>
      </c>
      <c r="D57" s="3">
        <v>6</v>
      </c>
      <c r="E57" s="3">
        <v>7</v>
      </c>
      <c r="F57" s="3" t="s">
        <v>39</v>
      </c>
      <c r="G57" s="3" t="s">
        <v>39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1</v>
      </c>
      <c r="U57" s="3"/>
      <c r="V57" s="3"/>
      <c r="W57" s="3"/>
      <c r="X57" s="3">
        <v>1</v>
      </c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>
        <v>52</v>
      </c>
      <c r="D58" s="3">
        <v>17</v>
      </c>
      <c r="E58" s="3">
        <v>35</v>
      </c>
      <c r="F58" s="3" t="s">
        <v>39</v>
      </c>
      <c r="G58" s="3" t="s">
        <v>39</v>
      </c>
      <c r="H58" s="3"/>
      <c r="I58" s="3"/>
      <c r="J58" s="3">
        <v>2</v>
      </c>
      <c r="K58" s="3"/>
      <c r="L58" s="3"/>
      <c r="M58" s="3"/>
      <c r="N58" s="3">
        <v>4</v>
      </c>
      <c r="O58" s="3"/>
      <c r="P58" s="3"/>
      <c r="Q58" s="3"/>
      <c r="R58" s="3">
        <v>1</v>
      </c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>
        <v>132</v>
      </c>
      <c r="D59" s="3">
        <v>56</v>
      </c>
      <c r="E59" s="3">
        <v>76</v>
      </c>
      <c r="F59" s="3" t="s">
        <v>39</v>
      </c>
      <c r="G59" s="3" t="s">
        <v>38</v>
      </c>
      <c r="H59" s="3"/>
      <c r="I59" s="3"/>
      <c r="J59" s="3">
        <v>2</v>
      </c>
      <c r="K59" s="3"/>
      <c r="L59" s="3"/>
      <c r="M59" s="3"/>
      <c r="N59" s="3">
        <v>4</v>
      </c>
      <c r="O59" s="3"/>
      <c r="P59" s="3"/>
      <c r="Q59" s="3"/>
      <c r="R59" s="3"/>
      <c r="S59" s="3"/>
      <c r="T59" s="3">
        <v>1</v>
      </c>
      <c r="U59" s="3"/>
      <c r="V59" s="3"/>
      <c r="W59" s="3"/>
      <c r="X59" s="3"/>
      <c r="Y59" s="3"/>
      <c r="Z59" s="3"/>
      <c r="AA59" s="3">
        <v>3</v>
      </c>
      <c r="AB59" s="3"/>
    </row>
    <row r="60" spans="1:28" x14ac:dyDescent="0.3">
      <c r="A60" s="2">
        <v>46099</v>
      </c>
      <c r="B60" s="3" t="str">
        <f t="shared" si="1"/>
        <v>Wed</v>
      </c>
      <c r="C60" s="3">
        <v>62</v>
      </c>
      <c r="D60" s="3">
        <v>29</v>
      </c>
      <c r="E60" s="3">
        <v>33</v>
      </c>
      <c r="F60" s="3" t="s">
        <v>39</v>
      </c>
      <c r="G60" s="3" t="s">
        <v>39</v>
      </c>
      <c r="H60" s="3"/>
      <c r="I60" s="3">
        <v>1</v>
      </c>
      <c r="J60" s="3"/>
      <c r="K60" s="3"/>
      <c r="L60" s="3"/>
      <c r="M60" s="3"/>
      <c r="N60" s="3">
        <v>1</v>
      </c>
      <c r="O60" s="3"/>
      <c r="P60" s="3"/>
      <c r="Q60" s="3"/>
      <c r="R60" s="3">
        <v>1</v>
      </c>
      <c r="S60" s="3">
        <v>2</v>
      </c>
      <c r="T60" s="3"/>
      <c r="U60" s="3"/>
      <c r="V60" s="3"/>
      <c r="W60" s="3">
        <v>1</v>
      </c>
      <c r="X60" s="3"/>
      <c r="Y60" s="3"/>
      <c r="Z60" s="3"/>
      <c r="AA60" s="3"/>
      <c r="AB60" s="3">
        <v>1</v>
      </c>
    </row>
    <row r="61" spans="1:28" x14ac:dyDescent="0.3">
      <c r="A61" s="2">
        <v>46100</v>
      </c>
      <c r="B61" s="3" t="str">
        <f t="shared" si="1"/>
        <v>Thu</v>
      </c>
      <c r="C61" s="3">
        <v>120</v>
      </c>
      <c r="D61" s="3">
        <v>56</v>
      </c>
      <c r="E61" s="3">
        <v>64</v>
      </c>
      <c r="F61" s="3" t="s">
        <v>38</v>
      </c>
      <c r="G61" s="3" t="s">
        <v>39</v>
      </c>
      <c r="H61" s="3"/>
      <c r="I61" s="3"/>
      <c r="J61" s="3"/>
      <c r="K61" s="3">
        <v>1</v>
      </c>
      <c r="L61" s="3"/>
      <c r="M61" s="3"/>
      <c r="N61" s="3"/>
      <c r="O61" s="3"/>
      <c r="P61" s="3"/>
      <c r="Q61" s="3"/>
      <c r="R61" s="3">
        <v>1</v>
      </c>
      <c r="S61" s="3">
        <v>3</v>
      </c>
      <c r="T61" s="3">
        <v>2</v>
      </c>
      <c r="U61" s="3"/>
      <c r="V61" s="3"/>
      <c r="W61" s="3"/>
      <c r="X61" s="3"/>
      <c r="Y61" s="3"/>
      <c r="Z61" s="3">
        <v>3</v>
      </c>
      <c r="AA61" s="3"/>
      <c r="AB61" s="3">
        <v>1</v>
      </c>
    </row>
    <row r="62" spans="1:28" x14ac:dyDescent="0.3">
      <c r="A62" s="2">
        <v>46101</v>
      </c>
      <c r="B62" s="3" t="str">
        <f t="shared" si="1"/>
        <v>Fri</v>
      </c>
      <c r="C62" s="3">
        <v>2</v>
      </c>
      <c r="D62" s="3">
        <v>1</v>
      </c>
      <c r="E62" s="3">
        <v>1</v>
      </c>
      <c r="F62" s="3" t="s">
        <v>38</v>
      </c>
      <c r="G62" s="3" t="s">
        <v>39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1</v>
      </c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6</v>
      </c>
      <c r="D63" s="3">
        <v>3</v>
      </c>
      <c r="E63" s="3">
        <v>3</v>
      </c>
      <c r="F63" s="3" t="s">
        <v>39</v>
      </c>
      <c r="G63" s="3" t="s">
        <v>39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>
        <v>6</v>
      </c>
      <c r="D64" s="3">
        <v>5</v>
      </c>
      <c r="E64" s="3">
        <v>1</v>
      </c>
      <c r="F64" s="3" t="s">
        <v>39</v>
      </c>
      <c r="G64" s="3" t="s">
        <v>38</v>
      </c>
      <c r="H64" s="3"/>
      <c r="I64" s="3"/>
      <c r="J64" s="3"/>
      <c r="K64" s="3"/>
      <c r="L64" s="3"/>
      <c r="M64" s="3">
        <v>2</v>
      </c>
      <c r="N64" s="3">
        <v>1</v>
      </c>
      <c r="O64" s="3"/>
      <c r="P64" s="3">
        <v>16.18</v>
      </c>
      <c r="Q64" s="3">
        <v>1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>
        <v>8</v>
      </c>
      <c r="D65" s="3">
        <v>4</v>
      </c>
      <c r="E65" s="3">
        <v>4</v>
      </c>
      <c r="F65" s="3" t="s">
        <v>39</v>
      </c>
      <c r="G65" s="3" t="s">
        <v>39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>
        <v>14</v>
      </c>
      <c r="D66" s="3">
        <v>7</v>
      </c>
      <c r="E66" s="3">
        <v>7</v>
      </c>
      <c r="F66" s="3" t="s">
        <v>39</v>
      </c>
      <c r="G66" s="3" t="s">
        <v>39</v>
      </c>
      <c r="H66" s="3"/>
      <c r="I66" s="3"/>
      <c r="J66" s="3"/>
      <c r="K66" s="3">
        <v>1</v>
      </c>
      <c r="L66" s="3"/>
      <c r="M66" s="3"/>
      <c r="N66" s="3">
        <v>1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</row>
    <row r="67" spans="1:28" x14ac:dyDescent="0.3">
      <c r="A67" s="2">
        <v>46106</v>
      </c>
      <c r="B67" s="3" t="str">
        <f t="shared" si="2"/>
        <v>Wed</v>
      </c>
      <c r="C67" s="3">
        <v>19</v>
      </c>
      <c r="D67" s="3">
        <v>7</v>
      </c>
      <c r="E67" s="3">
        <v>12</v>
      </c>
      <c r="F67" s="3" t="s">
        <v>38</v>
      </c>
      <c r="G67" s="3" t="s">
        <v>39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3</v>
      </c>
      <c r="U67" s="3"/>
      <c r="V67" s="3"/>
      <c r="W67" s="3"/>
      <c r="X67" s="3"/>
      <c r="Y67" s="3"/>
      <c r="Z67" s="3">
        <v>1</v>
      </c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>
        <v>10</v>
      </c>
      <c r="D68" s="3">
        <v>8</v>
      </c>
      <c r="E68" s="3">
        <v>2</v>
      </c>
      <c r="F68" s="3" t="s">
        <v>38</v>
      </c>
      <c r="G68" s="3" t="s">
        <v>38</v>
      </c>
      <c r="H68" s="3"/>
      <c r="I68" s="3"/>
      <c r="J68" s="3"/>
      <c r="K68" s="3"/>
      <c r="L68" s="3"/>
      <c r="M68" s="3">
        <v>1</v>
      </c>
      <c r="N68" s="3"/>
      <c r="O68" s="3"/>
      <c r="P68" s="3">
        <v>0.42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>
        <v>13</v>
      </c>
      <c r="D69" s="3">
        <v>3</v>
      </c>
      <c r="E69" s="3">
        <v>10</v>
      </c>
      <c r="F69" s="3" t="s">
        <v>39</v>
      </c>
      <c r="G69" s="3" t="s">
        <v>39</v>
      </c>
      <c r="H69" s="3"/>
      <c r="I69" s="3">
        <v>1</v>
      </c>
      <c r="J69" s="3"/>
      <c r="K69" s="3"/>
      <c r="L69" s="3"/>
      <c r="M69" s="3"/>
      <c r="N69" s="3">
        <v>1</v>
      </c>
      <c r="O69" s="3"/>
      <c r="P69" s="3"/>
      <c r="Q69" s="3"/>
      <c r="R69" s="3"/>
      <c r="S69" s="3">
        <v>1</v>
      </c>
      <c r="T69" s="3">
        <v>1</v>
      </c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>
        <v>9</v>
      </c>
      <c r="D70" s="3">
        <v>1</v>
      </c>
      <c r="E70" s="3">
        <v>8</v>
      </c>
      <c r="F70" s="3" t="s">
        <v>39</v>
      </c>
      <c r="G70" s="3" t="s">
        <v>39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>
        <v>31</v>
      </c>
      <c r="D71" s="3">
        <v>16</v>
      </c>
      <c r="E71" s="3">
        <v>15</v>
      </c>
      <c r="F71" s="3" t="s">
        <v>39</v>
      </c>
      <c r="G71" s="3" t="s">
        <v>39</v>
      </c>
      <c r="H71" s="3"/>
      <c r="I71" s="3"/>
      <c r="J71" s="3">
        <v>1</v>
      </c>
      <c r="K71" s="3"/>
      <c r="L71" s="3"/>
      <c r="M71" s="3"/>
      <c r="N71" s="3"/>
      <c r="O71" s="3"/>
      <c r="P71" s="3"/>
      <c r="Q71" s="3"/>
      <c r="R71" s="3"/>
      <c r="S71" s="3"/>
      <c r="T71" s="3">
        <v>1</v>
      </c>
      <c r="U71" s="3"/>
      <c r="V71" s="3"/>
      <c r="W71" s="3"/>
      <c r="X71" s="3">
        <v>2</v>
      </c>
      <c r="Y71" s="3"/>
      <c r="Z71" s="3"/>
      <c r="AA71" s="3">
        <v>1</v>
      </c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>
        <v>18</v>
      </c>
      <c r="D73" s="3">
        <v>11</v>
      </c>
      <c r="E73" s="3">
        <v>7</v>
      </c>
      <c r="F73" s="3" t="s">
        <v>38</v>
      </c>
      <c r="G73" s="3" t="s">
        <v>39</v>
      </c>
      <c r="H73" s="3"/>
      <c r="I73" s="3">
        <v>1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>
        <v>119</v>
      </c>
      <c r="D74" s="3">
        <v>47</v>
      </c>
      <c r="E74" s="3">
        <v>72</v>
      </c>
      <c r="F74" s="3" t="s">
        <v>39</v>
      </c>
      <c r="G74" s="3" t="s">
        <v>39</v>
      </c>
      <c r="H74" s="3"/>
      <c r="I74" s="3"/>
      <c r="J74" s="3">
        <v>3</v>
      </c>
      <c r="K74" s="3">
        <v>1</v>
      </c>
      <c r="L74" s="3"/>
      <c r="M74" s="3"/>
      <c r="N74" s="3"/>
      <c r="O74" s="3"/>
      <c r="P74" s="3"/>
      <c r="Q74" s="3">
        <v>2</v>
      </c>
      <c r="R74" s="3">
        <v>38</v>
      </c>
      <c r="S74" s="3">
        <v>1</v>
      </c>
      <c r="T74" s="3">
        <v>1</v>
      </c>
      <c r="U74" s="3"/>
      <c r="V74" s="3"/>
      <c r="W74" s="3"/>
      <c r="X74" s="3"/>
      <c r="Y74" s="3"/>
      <c r="Z74" s="3"/>
      <c r="AA74" s="3">
        <v>1</v>
      </c>
      <c r="AB74" s="3">
        <v>1</v>
      </c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>
        <v>4</v>
      </c>
      <c r="D76" s="3"/>
      <c r="E76" s="3">
        <v>4</v>
      </c>
      <c r="F76" s="3" t="s">
        <v>39</v>
      </c>
      <c r="G76" s="3" t="s">
        <v>39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>
        <v>12</v>
      </c>
      <c r="D77" s="3">
        <v>6</v>
      </c>
      <c r="E77" s="3">
        <v>6</v>
      </c>
      <c r="F77" s="3" t="s">
        <v>39</v>
      </c>
      <c r="G77" s="3" t="s">
        <v>39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>
        <v>1</v>
      </c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>
        <v>18</v>
      </c>
      <c r="D78" s="3">
        <v>9</v>
      </c>
      <c r="E78" s="3">
        <v>9</v>
      </c>
      <c r="F78" s="3" t="s">
        <v>38</v>
      </c>
      <c r="G78" s="3" t="s">
        <v>39</v>
      </c>
      <c r="H78" s="3"/>
      <c r="I78" s="3"/>
      <c r="J78" s="3"/>
      <c r="K78" s="3"/>
      <c r="L78" s="3">
        <v>1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>
        <v>1</v>
      </c>
      <c r="Y78" s="3"/>
      <c r="Z78" s="3"/>
      <c r="AA78" s="3">
        <v>1</v>
      </c>
      <c r="AB78" s="3"/>
    </row>
    <row r="79" spans="1:28" x14ac:dyDescent="0.3">
      <c r="A79" s="2">
        <v>46118</v>
      </c>
      <c r="B79" s="3" t="str">
        <f t="shared" si="2"/>
        <v>Mon</v>
      </c>
      <c r="C79" s="3">
        <v>20</v>
      </c>
      <c r="D79" s="3">
        <v>10</v>
      </c>
      <c r="E79" s="3">
        <v>10</v>
      </c>
      <c r="F79" s="3" t="s">
        <v>39</v>
      </c>
      <c r="G79" s="3" t="s">
        <v>39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1</v>
      </c>
      <c r="W79" s="3"/>
      <c r="X79" s="3"/>
      <c r="Y79" s="3">
        <v>1</v>
      </c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>
        <v>12</v>
      </c>
      <c r="D80" s="3">
        <v>4</v>
      </c>
      <c r="E80" s="3">
        <v>8</v>
      </c>
      <c r="F80" s="3" t="s">
        <v>39</v>
      </c>
      <c r="G80" s="3" t="s">
        <v>39</v>
      </c>
      <c r="H80" s="3"/>
      <c r="I80" s="3"/>
      <c r="J80" s="3"/>
      <c r="K80" s="3"/>
      <c r="L80" s="3"/>
      <c r="M80" s="3"/>
      <c r="N80" s="3">
        <v>3</v>
      </c>
      <c r="O80" s="3">
        <v>1</v>
      </c>
      <c r="P80" s="3">
        <v>0.97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>
        <v>4</v>
      </c>
      <c r="D81" s="3">
        <v>2</v>
      </c>
      <c r="E81" s="3">
        <v>2</v>
      </c>
      <c r="F81" s="3" t="s">
        <v>38</v>
      </c>
      <c r="G81" s="3" t="s">
        <v>38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>
        <v>1</v>
      </c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>
        <v>19</v>
      </c>
      <c r="D82" s="3">
        <v>10</v>
      </c>
      <c r="E82" s="3">
        <v>9</v>
      </c>
      <c r="F82" s="3" t="s">
        <v>39</v>
      </c>
      <c r="G82" s="3" t="s">
        <v>38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4</v>
      </c>
      <c r="D83" s="3">
        <v>1</v>
      </c>
      <c r="E83" s="3">
        <v>3</v>
      </c>
      <c r="F83" s="3" t="s">
        <v>39</v>
      </c>
      <c r="G83" s="3" t="s">
        <v>40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>
        <v>66</v>
      </c>
      <c r="D84" s="3">
        <v>25</v>
      </c>
      <c r="E84" s="3">
        <v>41</v>
      </c>
      <c r="F84" s="3" t="s">
        <v>39</v>
      </c>
      <c r="G84" s="3" t="s">
        <v>38</v>
      </c>
      <c r="H84" s="3">
        <v>2</v>
      </c>
      <c r="I84" s="3">
        <v>3</v>
      </c>
      <c r="J84" s="3"/>
      <c r="K84" s="3"/>
      <c r="L84" s="3"/>
      <c r="M84" s="3"/>
      <c r="N84" s="3"/>
      <c r="O84" s="3"/>
      <c r="P84" s="3"/>
      <c r="Q84" s="3"/>
      <c r="R84" s="3"/>
      <c r="S84" s="3">
        <v>1</v>
      </c>
      <c r="T84" s="3">
        <v>1</v>
      </c>
      <c r="U84" s="3"/>
      <c r="V84" s="3"/>
      <c r="W84" s="3"/>
      <c r="X84" s="3"/>
      <c r="Y84" s="3"/>
      <c r="Z84" s="3"/>
      <c r="AA84" s="3">
        <v>3</v>
      </c>
      <c r="AB84" s="3"/>
    </row>
    <row r="85" spans="1:28" x14ac:dyDescent="0.3">
      <c r="A85" s="2">
        <v>46124</v>
      </c>
      <c r="B85" s="3" t="str">
        <f t="shared" si="2"/>
        <v>Sun</v>
      </c>
      <c r="C85" s="3">
        <v>17</v>
      </c>
      <c r="D85" s="3">
        <v>11</v>
      </c>
      <c r="E85" s="3">
        <v>6</v>
      </c>
      <c r="F85" s="3" t="s">
        <v>39</v>
      </c>
      <c r="G85" s="3" t="s">
        <v>38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>
        <v>1</v>
      </c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>
        <v>18</v>
      </c>
      <c r="D86" s="3">
        <v>8</v>
      </c>
      <c r="E86" s="3">
        <v>10</v>
      </c>
      <c r="F86" s="3" t="s">
        <v>39</v>
      </c>
      <c r="G86" s="3" t="s">
        <v>39</v>
      </c>
      <c r="H86" s="3"/>
      <c r="I86" s="3"/>
      <c r="J86" s="3"/>
      <c r="K86" s="3"/>
      <c r="L86" s="3"/>
      <c r="M86" s="3"/>
      <c r="N86" s="3">
        <v>1</v>
      </c>
      <c r="O86" s="3"/>
      <c r="P86" s="3"/>
      <c r="Q86" s="3"/>
      <c r="R86" s="3"/>
      <c r="S86" s="3"/>
      <c r="T86" s="3">
        <v>1</v>
      </c>
      <c r="U86" s="3"/>
      <c r="V86" s="3"/>
      <c r="W86" s="3"/>
      <c r="X86" s="3"/>
      <c r="Y86" s="3"/>
      <c r="Z86" s="3"/>
      <c r="AA86" s="3"/>
      <c r="AB86" s="3">
        <v>1</v>
      </c>
    </row>
    <row r="87" spans="1:28" x14ac:dyDescent="0.3">
      <c r="A87" s="2">
        <v>46126</v>
      </c>
      <c r="B87" s="3" t="str">
        <f t="shared" si="2"/>
        <v>Tue</v>
      </c>
      <c r="C87" s="3">
        <v>18</v>
      </c>
      <c r="D87" s="3">
        <v>9</v>
      </c>
      <c r="E87" s="3">
        <v>9</v>
      </c>
      <c r="F87" s="3" t="s">
        <v>38</v>
      </c>
      <c r="G87" s="3" t="s">
        <v>38</v>
      </c>
      <c r="H87" s="3"/>
      <c r="I87" s="3"/>
      <c r="J87" s="3"/>
      <c r="K87" s="3">
        <v>1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1</v>
      </c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>
        <v>7</v>
      </c>
      <c r="D88" s="3">
        <v>4</v>
      </c>
      <c r="E88" s="3">
        <v>3</v>
      </c>
      <c r="F88" s="3" t="s">
        <v>39</v>
      </c>
      <c r="G88" s="3" t="s">
        <v>39</v>
      </c>
      <c r="H88" s="3"/>
      <c r="I88" s="3"/>
      <c r="J88" s="3"/>
      <c r="K88" s="3"/>
      <c r="L88" s="3"/>
      <c r="M88" s="3"/>
      <c r="N88" s="3">
        <v>1</v>
      </c>
      <c r="O88" s="3"/>
      <c r="P88" s="3"/>
      <c r="Q88" s="3"/>
      <c r="R88" s="3"/>
      <c r="S88" s="3"/>
      <c r="T88" s="3"/>
      <c r="U88" s="3"/>
      <c r="V88" s="3"/>
      <c r="W88" s="3"/>
      <c r="X88" s="3">
        <v>1</v>
      </c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>
        <v>9</v>
      </c>
      <c r="D89" s="3">
        <v>7</v>
      </c>
      <c r="E89" s="3">
        <v>2</v>
      </c>
      <c r="F89" s="3" t="s">
        <v>39</v>
      </c>
      <c r="G89" s="3" t="s">
        <v>38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>
        <v>1</v>
      </c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>
        <v>10</v>
      </c>
      <c r="D90" s="3">
        <v>4</v>
      </c>
      <c r="E90" s="3">
        <v>6</v>
      </c>
      <c r="F90" s="3" t="s">
        <v>39</v>
      </c>
      <c r="G90" s="3" t="s">
        <v>39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>
        <v>1</v>
      </c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>
        <v>30</v>
      </c>
      <c r="D92" s="3">
        <v>16</v>
      </c>
      <c r="E92" s="3">
        <v>14</v>
      </c>
      <c r="F92" s="3" t="s">
        <v>39</v>
      </c>
      <c r="G92" s="3" t="s">
        <v>39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>
        <v>1</v>
      </c>
      <c r="T92" s="3">
        <v>2</v>
      </c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4</v>
      </c>
      <c r="D93" s="3">
        <v>3</v>
      </c>
      <c r="E93" s="3">
        <v>1</v>
      </c>
      <c r="F93" s="3" t="s">
        <v>38</v>
      </c>
      <c r="G93" s="3" t="s">
        <v>38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>
        <v>1</v>
      </c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33</v>
      </c>
      <c r="D94" s="3">
        <v>15</v>
      </c>
      <c r="E94" s="3">
        <v>18</v>
      </c>
      <c r="F94" s="3" t="s">
        <v>39</v>
      </c>
      <c r="G94" s="3" t="s">
        <v>38</v>
      </c>
      <c r="H94" s="3"/>
      <c r="I94" s="3"/>
      <c r="J94" s="3"/>
      <c r="K94" s="3"/>
      <c r="L94" s="3"/>
      <c r="M94" s="3"/>
      <c r="N94" s="3">
        <v>2</v>
      </c>
      <c r="O94" s="3"/>
      <c r="P94" s="3"/>
      <c r="Q94" s="3"/>
      <c r="R94" s="3">
        <v>1</v>
      </c>
      <c r="S94" s="3"/>
      <c r="T94" s="3">
        <v>1</v>
      </c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>
        <v>3</v>
      </c>
      <c r="D96" s="3">
        <v>2</v>
      </c>
      <c r="E96" s="3">
        <v>1</v>
      </c>
      <c r="F96" s="3" t="s">
        <v>39</v>
      </c>
      <c r="G96" s="3" t="s">
        <v>38</v>
      </c>
      <c r="H96" s="3"/>
      <c r="I96" s="3"/>
      <c r="J96" s="3"/>
      <c r="K96" s="3"/>
      <c r="L96" s="3"/>
      <c r="M96" s="3"/>
      <c r="N96" s="3"/>
      <c r="O96" s="3"/>
      <c r="P96" s="3"/>
      <c r="Q96" s="3">
        <v>1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>
        <v>4</v>
      </c>
      <c r="D97" s="3">
        <v>1</v>
      </c>
      <c r="E97" s="3">
        <v>3</v>
      </c>
      <c r="F97" s="3" t="s">
        <v>39</v>
      </c>
      <c r="G97" s="3" t="s">
        <v>38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>
        <v>1</v>
      </c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>
        <v>12</v>
      </c>
      <c r="D98" s="3">
        <v>6</v>
      </c>
      <c r="E98" s="3">
        <v>6</v>
      </c>
      <c r="F98" s="3" t="s">
        <v>39</v>
      </c>
      <c r="G98" s="3" t="s">
        <v>39</v>
      </c>
      <c r="H98" s="3"/>
      <c r="I98" s="3"/>
      <c r="J98" s="3"/>
      <c r="K98" s="3"/>
      <c r="L98" s="3"/>
      <c r="M98" s="3"/>
      <c r="N98" s="3"/>
      <c r="O98" s="3"/>
      <c r="P98" s="3"/>
      <c r="Q98" s="3">
        <v>1</v>
      </c>
      <c r="R98" s="3"/>
      <c r="S98" s="3"/>
      <c r="T98" s="3"/>
      <c r="U98" s="3"/>
      <c r="V98" s="3"/>
      <c r="W98" s="3"/>
      <c r="X98" s="3">
        <v>1</v>
      </c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>
        <v>23</v>
      </c>
      <c r="D99" s="3">
        <v>8</v>
      </c>
      <c r="E99" s="3">
        <v>15</v>
      </c>
      <c r="F99" s="3" t="s">
        <v>39</v>
      </c>
      <c r="G99" s="3" t="s">
        <v>39</v>
      </c>
      <c r="H99" s="3"/>
      <c r="I99" s="3"/>
      <c r="J99" s="3"/>
      <c r="K99" s="3"/>
      <c r="L99" s="3"/>
      <c r="M99" s="3"/>
      <c r="N99" s="3">
        <v>1</v>
      </c>
      <c r="O99" s="3"/>
      <c r="P99" s="3"/>
      <c r="Q99" s="3"/>
      <c r="R99" s="3"/>
      <c r="S99" s="3">
        <v>1</v>
      </c>
      <c r="T99" s="3"/>
      <c r="U99" s="3"/>
      <c r="V99" s="3"/>
      <c r="W99" s="3"/>
      <c r="X99" s="3">
        <v>1</v>
      </c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>
        <v>16</v>
      </c>
      <c r="D100" s="3">
        <v>7</v>
      </c>
      <c r="E100" s="3">
        <v>9</v>
      </c>
      <c r="F100" s="3" t="s">
        <v>39</v>
      </c>
      <c r="G100" s="3" t="s">
        <v>38</v>
      </c>
      <c r="H100" s="3"/>
      <c r="I100" s="3"/>
      <c r="J100" s="3"/>
      <c r="K100" s="3"/>
      <c r="L100" s="3"/>
      <c r="M100" s="3"/>
      <c r="N100" s="3">
        <v>1</v>
      </c>
      <c r="O100" s="3"/>
      <c r="P100" s="3"/>
      <c r="Q100" s="3"/>
      <c r="R100" s="3"/>
      <c r="S100" s="3"/>
      <c r="T100" s="3">
        <v>1</v>
      </c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>
        <v>3</v>
      </c>
      <c r="D102" s="3">
        <v>1</v>
      </c>
      <c r="E102" s="3">
        <v>2</v>
      </c>
      <c r="F102" s="3" t="s">
        <v>39</v>
      </c>
      <c r="G102" s="3" t="s">
        <v>39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>
        <v>1</v>
      </c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>
        <v>69</v>
      </c>
      <c r="D104" s="3">
        <v>28</v>
      </c>
      <c r="E104" s="3">
        <v>41</v>
      </c>
      <c r="F104" s="3" t="s">
        <v>38</v>
      </c>
      <c r="G104" s="3" t="s">
        <v>39</v>
      </c>
      <c r="H104" s="3">
        <v>2</v>
      </c>
      <c r="I104" s="3">
        <v>1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>
        <v>1</v>
      </c>
      <c r="U104" s="3"/>
      <c r="V104" s="3"/>
      <c r="W104" s="3"/>
      <c r="X104" s="3"/>
      <c r="Y104" s="3"/>
      <c r="Z104" s="3"/>
      <c r="AA104" s="3">
        <v>1</v>
      </c>
      <c r="AB104" s="3"/>
    </row>
    <row r="105" spans="1:28" x14ac:dyDescent="0.3">
      <c r="A105" s="2">
        <v>46144</v>
      </c>
      <c r="B105" s="3" t="str">
        <f t="shared" si="3"/>
        <v>Sat</v>
      </c>
      <c r="C105" s="3">
        <v>12</v>
      </c>
      <c r="D105" s="3">
        <v>5</v>
      </c>
      <c r="E105" s="3">
        <v>7</v>
      </c>
      <c r="F105" s="3" t="s">
        <v>39</v>
      </c>
      <c r="G105" s="3" t="s">
        <v>38</v>
      </c>
      <c r="H105" s="3"/>
      <c r="I105" s="3"/>
      <c r="J105" s="3"/>
      <c r="K105" s="3"/>
      <c r="L105" s="3"/>
      <c r="M105" s="3"/>
      <c r="N105" s="3">
        <v>2</v>
      </c>
      <c r="O105" s="3"/>
      <c r="P105" s="3"/>
      <c r="Q105" s="3"/>
      <c r="R105" s="3"/>
      <c r="S105" s="3"/>
      <c r="T105" s="3">
        <v>1</v>
      </c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>
        <v>1</v>
      </c>
      <c r="D107" s="3">
        <v>1</v>
      </c>
      <c r="E107" s="3"/>
      <c r="F107" s="3" t="s">
        <v>38</v>
      </c>
      <c r="G107" s="3" t="s">
        <v>38</v>
      </c>
      <c r="H107" s="3"/>
      <c r="I107" s="3"/>
      <c r="J107" s="3"/>
      <c r="K107" s="3"/>
      <c r="L107" s="3">
        <v>1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>
        <v>20</v>
      </c>
      <c r="D109" s="3">
        <v>6</v>
      </c>
      <c r="E109" s="3">
        <v>14</v>
      </c>
      <c r="F109" s="3" t="s">
        <v>39</v>
      </c>
      <c r="G109" s="3" t="s">
        <v>38</v>
      </c>
      <c r="H109" s="3"/>
      <c r="I109" s="3"/>
      <c r="J109" s="3"/>
      <c r="K109" s="3"/>
      <c r="L109" s="3"/>
      <c r="M109" s="3"/>
      <c r="N109" s="3">
        <v>5</v>
      </c>
      <c r="O109" s="3"/>
      <c r="P109" s="3"/>
      <c r="Q109" s="3"/>
      <c r="R109" s="3"/>
      <c r="S109" s="3"/>
      <c r="T109" s="3">
        <v>1</v>
      </c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4</v>
      </c>
      <c r="D110" s="3">
        <v>1</v>
      </c>
      <c r="E110" s="3">
        <v>3</v>
      </c>
      <c r="F110" s="3" t="s">
        <v>38</v>
      </c>
      <c r="G110" s="3" t="s">
        <v>39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>
        <v>1</v>
      </c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>
        <v>3</v>
      </c>
      <c r="D111" s="3">
        <v>2</v>
      </c>
      <c r="E111" s="3">
        <v>1</v>
      </c>
      <c r="F111" s="3" t="s">
        <v>39</v>
      </c>
      <c r="G111" s="3" t="s">
        <v>38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96</v>
      </c>
      <c r="C3" s="5"/>
    </row>
    <row r="4" spans="1:3" x14ac:dyDescent="0.3">
      <c r="A4" s="5" t="s">
        <v>31</v>
      </c>
      <c r="B4" s="5">
        <f>COUNTIF('WhatsApp Data'!F2:F111,"Me")</f>
        <v>28</v>
      </c>
      <c r="C4" s="5"/>
    </row>
    <row r="5" spans="1:3" x14ac:dyDescent="0.3">
      <c r="A5" s="5" t="s">
        <v>32</v>
      </c>
      <c r="B5" s="5">
        <f>COUNTIF('WhatsApp Data'!F2:F111,"You")</f>
        <v>68</v>
      </c>
      <c r="C5" s="5"/>
    </row>
    <row r="6" spans="1:3" x14ac:dyDescent="0.3">
      <c r="A6" s="5" t="s">
        <v>33</v>
      </c>
      <c r="B6" s="5">
        <f>COUNTIF('WhatsApp Data'!G2:G111,"Me")</f>
        <v>41</v>
      </c>
      <c r="C6" s="5"/>
    </row>
    <row r="7" spans="1:3" x14ac:dyDescent="0.3">
      <c r="A7" s="5" t="s">
        <v>34</v>
      </c>
      <c r="B7" s="5">
        <f>COUNTIF('WhatsApp Data'!G2:G111,"You")</f>
        <v>54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2420</v>
      </c>
      <c r="C10" s="6">
        <f t="shared" ref="C10:C33" si="0">IFERROR(B10/$B$2,0)</f>
        <v>22</v>
      </c>
    </row>
    <row r="11" spans="1:3" x14ac:dyDescent="0.3">
      <c r="A11" s="5" t="s">
        <v>3</v>
      </c>
      <c r="B11" s="5">
        <f>SUM('WhatsApp Data'!D2:D111)</f>
        <v>1136</v>
      </c>
      <c r="C11" s="6">
        <f t="shared" si="0"/>
        <v>10.327272727272728</v>
      </c>
    </row>
    <row r="12" spans="1:3" x14ac:dyDescent="0.3">
      <c r="A12" s="5" t="s">
        <v>4</v>
      </c>
      <c r="B12" s="5">
        <f>SUM('WhatsApp Data'!E2:E111)</f>
        <v>1284</v>
      </c>
      <c r="C12" s="6">
        <f t="shared" si="0"/>
        <v>11.672727272727272</v>
      </c>
    </row>
    <row r="13" spans="1:3" x14ac:dyDescent="0.3">
      <c r="A13" s="5" t="s">
        <v>7</v>
      </c>
      <c r="B13" s="5">
        <f>SUM('WhatsApp Data'!H2:H111)</f>
        <v>10</v>
      </c>
      <c r="C13" s="6">
        <f t="shared" si="0"/>
        <v>9.0909090909090912E-2</v>
      </c>
    </row>
    <row r="14" spans="1:3" x14ac:dyDescent="0.3">
      <c r="A14" s="5" t="s">
        <v>8</v>
      </c>
      <c r="B14" s="5">
        <f>SUM('WhatsApp Data'!I2:I111)</f>
        <v>10</v>
      </c>
      <c r="C14" s="6">
        <f t="shared" si="0"/>
        <v>9.0909090909090912E-2</v>
      </c>
    </row>
    <row r="15" spans="1:3" x14ac:dyDescent="0.3">
      <c r="A15" s="5" t="s">
        <v>9</v>
      </c>
      <c r="B15" s="5">
        <f>SUM('WhatsApp Data'!J2:J111)</f>
        <v>16</v>
      </c>
      <c r="C15" s="6">
        <f t="shared" si="0"/>
        <v>0.14545454545454545</v>
      </c>
    </row>
    <row r="16" spans="1:3" x14ac:dyDescent="0.3">
      <c r="A16" s="5" t="s">
        <v>10</v>
      </c>
      <c r="B16" s="5">
        <f>SUM('WhatsApp Data'!K2:K111)</f>
        <v>20</v>
      </c>
      <c r="C16" s="6">
        <f t="shared" si="0"/>
        <v>0.18181818181818182</v>
      </c>
    </row>
    <row r="17" spans="1:3" x14ac:dyDescent="0.3">
      <c r="A17" s="5" t="s">
        <v>11</v>
      </c>
      <c r="B17" s="5">
        <f>SUM('WhatsApp Data'!L2:L111)</f>
        <v>8</v>
      </c>
      <c r="C17" s="6">
        <f t="shared" si="0"/>
        <v>7.2727272727272724E-2</v>
      </c>
    </row>
    <row r="18" spans="1:3" x14ac:dyDescent="0.3">
      <c r="A18" s="5" t="s">
        <v>12</v>
      </c>
      <c r="B18" s="5">
        <f>SUM('WhatsApp Data'!M2:M111)</f>
        <v>7</v>
      </c>
      <c r="C18" s="6">
        <f t="shared" si="0"/>
        <v>6.363636363636363E-2</v>
      </c>
    </row>
    <row r="19" spans="1:3" x14ac:dyDescent="0.3">
      <c r="A19" s="5" t="s">
        <v>13</v>
      </c>
      <c r="B19" s="5">
        <f>SUM('WhatsApp Data'!N2:N111)</f>
        <v>87</v>
      </c>
      <c r="C19" s="6">
        <f t="shared" si="0"/>
        <v>0.79090909090909089</v>
      </c>
    </row>
    <row r="20" spans="1:3" x14ac:dyDescent="0.3">
      <c r="A20" s="5" t="s">
        <v>14</v>
      </c>
      <c r="B20" s="5">
        <f>SUM('WhatsApp Data'!O2:O111)</f>
        <v>9</v>
      </c>
      <c r="C20" s="6">
        <f t="shared" si="0"/>
        <v>8.1818181818181818E-2</v>
      </c>
    </row>
    <row r="21" spans="1:3" x14ac:dyDescent="0.3">
      <c r="A21" s="5" t="s">
        <v>15</v>
      </c>
      <c r="B21" s="5">
        <f>SUM('WhatsApp Data'!P2:P111)</f>
        <v>70.209999999999994</v>
      </c>
      <c r="C21" s="6">
        <f t="shared" si="0"/>
        <v>0.63827272727272721</v>
      </c>
    </row>
    <row r="22" spans="1:3" x14ac:dyDescent="0.3">
      <c r="A22" s="5" t="s">
        <v>16</v>
      </c>
      <c r="B22" s="5">
        <f>SUM('WhatsApp Data'!Q2:Q111)</f>
        <v>16</v>
      </c>
      <c r="C22" s="6">
        <f t="shared" si="0"/>
        <v>0.14545454545454545</v>
      </c>
    </row>
    <row r="23" spans="1:3" x14ac:dyDescent="0.3">
      <c r="A23" s="5" t="s">
        <v>17</v>
      </c>
      <c r="B23" s="5">
        <f>SUM('WhatsApp Data'!R2:R111)</f>
        <v>50</v>
      </c>
      <c r="C23" s="6">
        <f t="shared" si="0"/>
        <v>0.45454545454545453</v>
      </c>
    </row>
    <row r="24" spans="1:3" x14ac:dyDescent="0.3">
      <c r="A24" s="5" t="s">
        <v>18</v>
      </c>
      <c r="B24" s="5">
        <f>SUM('WhatsApp Data'!S2:S111)</f>
        <v>27</v>
      </c>
      <c r="C24" s="6">
        <f t="shared" si="0"/>
        <v>0.24545454545454545</v>
      </c>
    </row>
    <row r="25" spans="1:3" x14ac:dyDescent="0.3">
      <c r="A25" s="5" t="s">
        <v>19</v>
      </c>
      <c r="B25" s="5">
        <f>SUM('WhatsApp Data'!T2:T111)</f>
        <v>76</v>
      </c>
      <c r="C25" s="6">
        <f t="shared" si="0"/>
        <v>0.69090909090909092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4</v>
      </c>
      <c r="C27" s="6">
        <f t="shared" si="0"/>
        <v>3.6363636363636362E-2</v>
      </c>
    </row>
    <row r="28" spans="1:3" x14ac:dyDescent="0.3">
      <c r="A28" s="5" t="s">
        <v>22</v>
      </c>
      <c r="B28" s="5">
        <f>SUM('WhatsApp Data'!W2:W111)</f>
        <v>1</v>
      </c>
      <c r="C28" s="6">
        <f t="shared" si="0"/>
        <v>9.0909090909090905E-3</v>
      </c>
    </row>
    <row r="29" spans="1:3" x14ac:dyDescent="0.3">
      <c r="A29" s="5" t="s">
        <v>23</v>
      </c>
      <c r="B29" s="5">
        <f>SUM('WhatsApp Data'!X2:X111)</f>
        <v>26</v>
      </c>
      <c r="C29" s="6">
        <f t="shared" si="0"/>
        <v>0.23636363636363636</v>
      </c>
    </row>
    <row r="30" spans="1:3" x14ac:dyDescent="0.3">
      <c r="A30" s="5" t="s">
        <v>24</v>
      </c>
      <c r="B30" s="5">
        <f>SUM('WhatsApp Data'!Y2:Y111)</f>
        <v>4</v>
      </c>
      <c r="C30" s="6">
        <f t="shared" si="0"/>
        <v>3.6363636363636362E-2</v>
      </c>
    </row>
    <row r="31" spans="1:3" x14ac:dyDescent="0.3">
      <c r="A31" s="5" t="s">
        <v>25</v>
      </c>
      <c r="B31" s="5">
        <f>SUM('WhatsApp Data'!Z2:Z111)</f>
        <v>8</v>
      </c>
      <c r="C31" s="6">
        <f t="shared" si="0"/>
        <v>7.2727272727272724E-2</v>
      </c>
    </row>
    <row r="32" spans="1:3" x14ac:dyDescent="0.3">
      <c r="A32" s="5" t="s">
        <v>26</v>
      </c>
      <c r="B32" s="5">
        <f>SUM('WhatsApp Data'!AA2:AA111)</f>
        <v>19</v>
      </c>
      <c r="C32" s="6">
        <f t="shared" si="0"/>
        <v>0.17272727272727273</v>
      </c>
    </row>
    <row r="33" spans="1:3" x14ac:dyDescent="0.3">
      <c r="A33" s="5" t="s">
        <v>27</v>
      </c>
      <c r="B33" s="5">
        <f>SUM('WhatsApp Data'!AB2:AB111)</f>
        <v>9</v>
      </c>
      <c r="C33" s="6">
        <f t="shared" si="0"/>
        <v>8.1818181818181818E-2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2026-10-23T17:29:42Z</dcterms:modified>
  <dc:language>en-US</dc:language>
</cp:coreProperties>
</file>