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6341D97C-0191-4A89-8D16-FDA1B49BA314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<sst xmlns="http://schemas.openxmlformats.org/spreadsheetml/2006/main" count="80" uniqueCount="40">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</sst>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Q58" activePane="bottomRight" state="frozen"/>
      <selection pane="topRight" activeCell="C1" sqref="C1"/>
      <selection pane="bottomLeft" activeCell="A2" sqref="A2"/>
      <selection pane="bottomRight" activeCell="AA84" sqref="AA84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>
        <v>2</v>
      </c>
      <c r="D3" s="3">
        <v>2</v>
      </c>
      <c r="E3" s="3"/>
      <c r="F3" s="3" t="s">
        <v>38</v>
      </c>
      <c r="G3" s="3" t="s">
        <v>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3</v>
      </c>
      <c r="D5" s="3">
        <v>2</v>
      </c>
      <c r="E5" s="3">
        <v>1</v>
      </c>
      <c r="F5" s="3" t="s">
        <v>38</v>
      </c>
      <c r="G5" s="3" t="s">
        <v>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>
        <v>1</v>
      </c>
      <c r="D11" s="3">
        <v>1</v>
      </c>
      <c r="E11" s="3"/>
      <c r="F11" s="3" t="s">
        <v>38</v>
      </c>
      <c r="G11" s="3" t="s">
        <v>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>
        <v>3</v>
      </c>
      <c r="D12" s="3">
        <v>2</v>
      </c>
      <c r="E12" s="3">
        <v>1</v>
      </c>
      <c r="F12" s="3" t="s">
        <v>38</v>
      </c>
      <c r="G12" s="3" t="s">
        <v>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2</v>
      </c>
      <c r="D23" s="3">
        <v>1</v>
      </c>
      <c r="E23" s="3">
        <v>1</v>
      </c>
      <c r="F23" s="3" t="s">
        <v>38</v>
      </c>
      <c r="G23" s="3" t="s">
        <v>39</v>
      </c>
      <c r="H23" s="3"/>
      <c r="I23" s="3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>
        <v>1</v>
      </c>
      <c r="D46" s="3">
        <v>1</v>
      </c>
      <c r="E46" s="3"/>
      <c r="F46" s="3" t="s">
        <v>38</v>
      </c>
      <c r="G46" s="3" t="s">
        <v>38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7</v>
      </c>
      <c r="D47" s="3">
        <v>2</v>
      </c>
      <c r="E47" s="3">
        <v>5</v>
      </c>
      <c r="F47" s="3" t="s">
        <v>39</v>
      </c>
      <c r="G47" s="3" t="s">
        <v>39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1</v>
      </c>
      <c r="D49" s="3">
        <v>1</v>
      </c>
      <c r="E49" s="3"/>
      <c r="F49" s="3" t="s">
        <v>38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9</v>
      </c>
      <c r="D84" s="3">
        <v>5</v>
      </c>
      <c r="E84" s="3">
        <v>4</v>
      </c>
      <c r="F84" s="3" t="s">
        <v>38</v>
      </c>
      <c r="G84" s="3" t="s">
        <v>38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9</v>
      </c>
      <c r="C3" s="5"/>
    </row>
    <row r="4" spans="1:3" x14ac:dyDescent="0.3">
      <c r="A4" s="5" t="s">
        <v>31</v>
      </c>
      <c r="B4" s="5">
        <f>COUNTIF('WhatsApp Data'!F2:F111,"Me")</f>
        <v>8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7</v>
      </c>
      <c r="C6" s="5"/>
    </row>
    <row r="7" spans="1:3" x14ac:dyDescent="0.3">
      <c r="A7" s="5" t="s">
        <v>34</v>
      </c>
      <c r="B7" s="5">
        <f>COUNTIF('WhatsApp Data'!G2:G111,"You")</f>
        <v>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29</v>
      </c>
      <c r="C10" s="6">
        <f t="shared" ref="C10:C33" si="0">IFERROR(B10/$B$2,0)</f>
        <v>0.26363636363636361</v>
      </c>
    </row>
    <row r="11" spans="1:3" x14ac:dyDescent="0.3">
      <c r="A11" s="5" t="s">
        <v>3</v>
      </c>
      <c r="B11" s="5">
        <f>SUM('WhatsApp Data'!D2:D111)</f>
        <v>17</v>
      </c>
      <c r="C11" s="6">
        <f t="shared" si="0"/>
        <v>0.15454545454545454</v>
      </c>
    </row>
    <row r="12" spans="1:3" x14ac:dyDescent="0.3">
      <c r="A12" s="5" t="s">
        <v>4</v>
      </c>
      <c r="B12" s="5">
        <f>SUM('WhatsApp Data'!E2:E111)</f>
        <v>12</v>
      </c>
      <c r="C12" s="6">
        <f t="shared" si="0"/>
        <v>0.10909090909090909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1</v>
      </c>
      <c r="C32" s="6">
        <f t="shared" si="0"/>
        <v>9.0909090909090905E-3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2026-10-11T19:51:52Z</dcterms:modified>
  <dc:language>en-US</dc:language>
</cp:coreProperties>
</file>