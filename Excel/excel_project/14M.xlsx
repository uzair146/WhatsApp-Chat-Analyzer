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AA029460-CC36-4E43-BC62-9DDB8588B2C0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13" i="2" l="1"/>
</calcChain>
</file>

<file path=xl/sharedStrings.xml><?xml version="1.0" encoding="utf-8"?>
<sst xmlns="http://schemas.openxmlformats.org/spreadsheetml/2006/main" count="80" uniqueCount="40">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</sst>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zoomScaleNormal="100" workbookViewId="0">
      <pane xSplit="2" ySplit="1" topLeftCell="C78" activePane="bottomRight" state="frozen"/>
      <selection pane="topRight" activeCell="C1" sqref="C1"/>
      <selection pane="bottomLeft" activeCell="A2" sqref="A2"/>
      <selection pane="bottomRight" activeCell="H108" sqref="H108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>
        <v>3</v>
      </c>
      <c r="D3" s="3">
        <v>2</v>
      </c>
      <c r="E3" s="3">
        <v>1</v>
      </c>
      <c r="F3" s="3" t="s">
        <v>38</v>
      </c>
      <c r="G3" s="3" t="s">
        <v>38</v>
      </c>
      <c r="H3" s="3"/>
      <c r="I3" s="3">
        <v>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>
        <v>4</v>
      </c>
      <c r="D40" s="3">
        <v>2</v>
      </c>
      <c r="E40" s="3">
        <v>2</v>
      </c>
      <c r="F40" s="3" t="s">
        <v>38</v>
      </c>
      <c r="G40" s="3" t="s">
        <v>39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>
        <v>1</v>
      </c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>
        <v>9</v>
      </c>
      <c r="D42" s="3">
        <v>4</v>
      </c>
      <c r="E42" s="3">
        <v>5</v>
      </c>
      <c r="F42" s="3" t="s">
        <v>39</v>
      </c>
      <c r="G42" s="3" t="s">
        <v>39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>
        <v>5</v>
      </c>
      <c r="D49" s="3">
        <v>2</v>
      </c>
      <c r="E49" s="3">
        <v>3</v>
      </c>
      <c r="F49" s="3" t="s">
        <v>38</v>
      </c>
      <c r="G49" s="3" t="s">
        <v>39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>
        <v>1</v>
      </c>
      <c r="T49" s="3"/>
      <c r="U49" s="3"/>
      <c r="V49" s="3"/>
      <c r="W49" s="3"/>
      <c r="X49" s="3"/>
      <c r="Y49" s="3"/>
      <c r="Z49" s="3"/>
      <c r="AA49" s="3"/>
      <c r="AB49" s="3">
        <v>2</v>
      </c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>
        <v>6</v>
      </c>
      <c r="D54" s="3">
        <v>3</v>
      </c>
      <c r="E54" s="3">
        <v>3</v>
      </c>
      <c r="F54" s="3" t="s">
        <v>38</v>
      </c>
      <c r="G54" s="3" t="s">
        <v>38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1</v>
      </c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>
        <v>18</v>
      </c>
      <c r="D65" s="3">
        <v>11</v>
      </c>
      <c r="E65" s="3">
        <v>7</v>
      </c>
      <c r="F65" s="3" t="s">
        <v>39</v>
      </c>
      <c r="G65" s="3" t="s">
        <v>38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2</v>
      </c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>
        <v>26</v>
      </c>
      <c r="D81" s="3">
        <v>18</v>
      </c>
      <c r="E81" s="3">
        <v>8</v>
      </c>
      <c r="F81" s="3" t="s">
        <v>39</v>
      </c>
      <c r="G81" s="3" t="s">
        <v>38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>
        <v>1</v>
      </c>
      <c r="T81" s="3">
        <v>2</v>
      </c>
      <c r="U81" s="3"/>
      <c r="V81" s="3"/>
      <c r="W81" s="3"/>
      <c r="X81" s="3">
        <v>1</v>
      </c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>
        <v>2</v>
      </c>
      <c r="D93" s="3">
        <v>2</v>
      </c>
      <c r="E93" s="3"/>
      <c r="F93" s="3" t="s">
        <v>38</v>
      </c>
      <c r="G93" s="3" t="s">
        <v>38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>
        <v>8</v>
      </c>
      <c r="D108" s="3">
        <v>4</v>
      </c>
      <c r="E108" s="3">
        <v>4</v>
      </c>
      <c r="F108" s="3" t="s">
        <v>39</v>
      </c>
      <c r="G108" s="3" t="s">
        <v>39</v>
      </c>
      <c r="H108" s="3">
        <v>1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abSelected="1" zoomScaleNormal="100" workbookViewId="0">
      <selection activeCell="C10" sqref="C10"/>
    </sheetView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9</v>
      </c>
      <c r="C3" s="5"/>
    </row>
    <row r="4" spans="1:3" x14ac:dyDescent="0.3">
      <c r="A4" s="5" t="s">
        <v>31</v>
      </c>
      <c r="B4" s="5">
        <f>COUNTIF('WhatsApp Data'!F2:F111,"Me")</f>
        <v>5</v>
      </c>
      <c r="C4" s="5"/>
    </row>
    <row r="5" spans="1:3" x14ac:dyDescent="0.3">
      <c r="A5" s="5" t="s">
        <v>32</v>
      </c>
      <c r="B5" s="5">
        <f>COUNTIF('WhatsApp Data'!F2:F111,"You")</f>
        <v>4</v>
      </c>
      <c r="C5" s="5"/>
    </row>
    <row r="6" spans="1:3" x14ac:dyDescent="0.3">
      <c r="A6" s="5" t="s">
        <v>33</v>
      </c>
      <c r="B6" s="5">
        <f>COUNTIF('WhatsApp Data'!G2:G111,"Me")</f>
        <v>5</v>
      </c>
      <c r="C6" s="5"/>
    </row>
    <row r="7" spans="1:3" x14ac:dyDescent="0.3">
      <c r="A7" s="5" t="s">
        <v>34</v>
      </c>
      <c r="B7" s="5">
        <f>COUNTIF('WhatsApp Data'!G2:G111,"You")</f>
        <v>4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81</v>
      </c>
      <c r="C10" s="6">
        <f t="shared" ref="C10:C33" si="0">IFERROR(B10/$B$2,0)</f>
        <v>0.73636363636363633</v>
      </c>
    </row>
    <row r="11" spans="1:3" x14ac:dyDescent="0.3">
      <c r="A11" s="5" t="s">
        <v>3</v>
      </c>
      <c r="B11" s="5">
        <f>SUM('WhatsApp Data'!D2:D111)</f>
        <v>48</v>
      </c>
      <c r="C11" s="6">
        <f t="shared" si="0"/>
        <v>0.43636363636363634</v>
      </c>
    </row>
    <row r="12" spans="1:3" x14ac:dyDescent="0.3">
      <c r="A12" s="5" t="s">
        <v>4</v>
      </c>
      <c r="B12" s="5">
        <f>SUM('WhatsApp Data'!E2:E111)</f>
        <v>33</v>
      </c>
      <c r="C12" s="6">
        <f t="shared" si="0"/>
        <v>0.3</v>
      </c>
    </row>
    <row r="13" spans="1:3" x14ac:dyDescent="0.3">
      <c r="A13" s="5" t="s">
        <v>7</v>
      </c>
      <c r="B13" s="5">
        <f>SUM('WhatsApp Data'!H2:H111)</f>
        <v>1</v>
      </c>
      <c r="C13" s="6">
        <f t="shared" si="0"/>
        <v>9.0909090909090905E-3</v>
      </c>
    </row>
    <row r="14" spans="1:3" x14ac:dyDescent="0.3">
      <c r="A14" s="5" t="s">
        <v>8</v>
      </c>
      <c r="B14" s="5">
        <f>SUM('WhatsApp Data'!I2:I111)</f>
        <v>1</v>
      </c>
      <c r="C14" s="6">
        <f t="shared" si="0"/>
        <v>9.0909090909090905E-3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3</v>
      </c>
      <c r="C24" s="6">
        <f t="shared" si="0"/>
        <v>2.7272727272727271E-2</v>
      </c>
    </row>
    <row r="25" spans="1:3" x14ac:dyDescent="0.3">
      <c r="A25" s="5" t="s">
        <v>19</v>
      </c>
      <c r="B25" s="5">
        <f>SUM('WhatsApp Data'!T2:T111)</f>
        <v>4</v>
      </c>
      <c r="C25" s="6">
        <f t="shared" si="0"/>
        <v>3.6363636363636362E-2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1</v>
      </c>
      <c r="C29" s="6">
        <f t="shared" si="0"/>
        <v>9.0909090909090905E-3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3</v>
      </c>
      <c r="C33" s="6">
        <f t="shared" si="0"/>
        <v>2.7272727272727271E-2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2026-10-04T08:46:20Z</dcterms:modified>
  <dc:language>en-US</dc:language>
</cp:coreProperties>
</file>