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8B678FAC-76FA-44D3-B595-CFC9B6BFB480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<sst xmlns="http://schemas.openxmlformats.org/spreadsheetml/2006/main" count="220" uniqueCount="40">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</sst>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86" activePane="bottomRight" state="frozen"/>
      <selection pane="topRight" activeCell="C1" sqref="C1"/>
      <selection pane="bottomLeft" activeCell="A2" sqref="A2"/>
      <selection pane="bottomRight" activeCell="J111" sqref="J11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>
        <v>9</v>
      </c>
      <c r="D3" s="3">
        <v>4</v>
      </c>
      <c r="E3" s="3">
        <v>5</v>
      </c>
      <c r="F3" s="3" t="s">
        <v>38</v>
      </c>
      <c r="G3" s="3" t="s">
        <v>38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>
        <v>4</v>
      </c>
      <c r="D4" s="3">
        <v>2</v>
      </c>
      <c r="E4" s="3">
        <v>2</v>
      </c>
      <c r="F4" s="3" t="s">
        <v>38</v>
      </c>
      <c r="G4" s="3" t="s">
        <v>39</v>
      </c>
      <c r="H4" s="3"/>
      <c r="I4" s="3"/>
      <c r="J4" s="3">
        <v>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>
        <v>9</v>
      </c>
      <c r="D5" s="3">
        <v>6</v>
      </c>
      <c r="E5" s="3">
        <v>3</v>
      </c>
      <c r="F5" s="3" t="s">
        <v>38</v>
      </c>
      <c r="G5" s="3" t="s">
        <v>38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19</v>
      </c>
      <c r="D7" s="3">
        <v>11</v>
      </c>
      <c r="E7" s="3">
        <v>8</v>
      </c>
      <c r="F7" s="3" t="s">
        <v>38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>
        <v>1</v>
      </c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>
        <v>6</v>
      </c>
      <c r="D9" s="3">
        <v>5</v>
      </c>
      <c r="E9" s="3">
        <v>1</v>
      </c>
      <c r="F9" s="3" t="s">
        <v>38</v>
      </c>
      <c r="G9" s="3" t="s">
        <v>38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>
        <v>1</v>
      </c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>
        <v>3</v>
      </c>
      <c r="D10" s="3">
        <v>1</v>
      </c>
      <c r="E10" s="3">
        <v>2</v>
      </c>
      <c r="F10" s="3" t="s">
        <v>39</v>
      </c>
      <c r="G10" s="3" t="s">
        <v>38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>
        <v>4</v>
      </c>
      <c r="D12" s="3">
        <v>3</v>
      </c>
      <c r="E12" s="3">
        <v>1</v>
      </c>
      <c r="F12" s="3" t="s">
        <v>38</v>
      </c>
      <c r="G12" s="3" t="s">
        <v>38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>
        <v>9</v>
      </c>
      <c r="D16" s="3">
        <v>1</v>
      </c>
      <c r="E16" s="3">
        <v>8</v>
      </c>
      <c r="F16" s="3" t="s">
        <v>39</v>
      </c>
      <c r="G16" s="3" t="s">
        <v>39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>
        <v>36</v>
      </c>
      <c r="D19" s="3">
        <v>23</v>
      </c>
      <c r="E19" s="3">
        <v>13</v>
      </c>
      <c r="F19" s="3" t="s">
        <v>38</v>
      </c>
      <c r="G19" s="3" t="s">
        <v>38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>
        <v>6</v>
      </c>
      <c r="D20" s="3">
        <v>2</v>
      </c>
      <c r="E20" s="3">
        <v>4</v>
      </c>
      <c r="F20" s="3" t="s">
        <v>39</v>
      </c>
      <c r="G20" s="3" t="s">
        <v>38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>
        <v>30</v>
      </c>
      <c r="D23" s="3">
        <v>19</v>
      </c>
      <c r="E23" s="3">
        <v>11</v>
      </c>
      <c r="F23" s="3" t="s">
        <v>38</v>
      </c>
      <c r="G23" s="3" t="s">
        <v>39</v>
      </c>
      <c r="H23" s="3">
        <v>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v>1</v>
      </c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>
        <v>6</v>
      </c>
      <c r="D24" s="3">
        <v>4</v>
      </c>
      <c r="E24" s="3">
        <v>2</v>
      </c>
      <c r="F24" s="3" t="s">
        <v>38</v>
      </c>
      <c r="G24" s="3" t="s">
        <v>38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>
        <v>23</v>
      </c>
      <c r="D26" s="3">
        <v>5</v>
      </c>
      <c r="E26" s="3">
        <v>18</v>
      </c>
      <c r="F26" s="3" t="s">
        <v>39</v>
      </c>
      <c r="G26" s="3" t="s">
        <v>39</v>
      </c>
      <c r="H26" s="3"/>
      <c r="I26" s="3">
        <v>1</v>
      </c>
      <c r="J26" s="3">
        <v>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>
        <v>21</v>
      </c>
      <c r="D27" s="3">
        <v>13</v>
      </c>
      <c r="E27" s="3">
        <v>8</v>
      </c>
      <c r="F27" s="3" t="s">
        <v>38</v>
      </c>
      <c r="G27" s="3" t="s">
        <v>38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>
        <v>26</v>
      </c>
      <c r="D29" s="3">
        <v>16</v>
      </c>
      <c r="E29" s="3">
        <v>10</v>
      </c>
      <c r="F29" s="3" t="s">
        <v>38</v>
      </c>
      <c r="G29" s="3" t="s">
        <v>38</v>
      </c>
      <c r="H29" s="3"/>
      <c r="I29" s="3"/>
      <c r="J29" s="3">
        <v>1</v>
      </c>
      <c r="K29" s="3">
        <v>1</v>
      </c>
      <c r="L29" s="3"/>
      <c r="M29" s="3"/>
      <c r="N29" s="3"/>
      <c r="O29" s="3"/>
      <c r="P29" s="3"/>
      <c r="Q29" s="3"/>
      <c r="R29" s="3"/>
      <c r="S29" s="3">
        <v>1</v>
      </c>
      <c r="T29" s="3">
        <v>2</v>
      </c>
      <c r="U29" s="3"/>
      <c r="V29" s="3"/>
      <c r="W29" s="3"/>
      <c r="X29" s="3"/>
      <c r="Y29" s="3"/>
      <c r="Z29" s="3"/>
      <c r="AA29" s="3">
        <v>1</v>
      </c>
      <c r="AB29" s="3"/>
    </row>
    <row r="30" spans="1:28" x14ac:dyDescent="0.3">
      <c r="A30" s="2">
        <v>46069</v>
      </c>
      <c r="B30" s="3" t="str">
        <f t="shared" si="0"/>
        <v>Mon</v>
      </c>
      <c r="C30" s="3">
        <v>10</v>
      </c>
      <c r="D30" s="3">
        <v>7</v>
      </c>
      <c r="E30" s="3">
        <v>3</v>
      </c>
      <c r="F30" s="3" t="s">
        <v>38</v>
      </c>
      <c r="G30" s="3" t="s">
        <v>38</v>
      </c>
      <c r="H30" s="3">
        <v>1</v>
      </c>
      <c r="I30" s="3"/>
      <c r="J30" s="3"/>
      <c r="K30" s="3">
        <v>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>
        <v>15</v>
      </c>
      <c r="D31" s="3">
        <v>7</v>
      </c>
      <c r="E31" s="3">
        <v>8</v>
      </c>
      <c r="F31" s="3" t="s">
        <v>39</v>
      </c>
      <c r="G31" s="3" t="s">
        <v>38</v>
      </c>
      <c r="H31" s="3"/>
      <c r="I31" s="3"/>
      <c r="J31" s="3">
        <v>5</v>
      </c>
      <c r="K31" s="3">
        <v>2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>
        <v>32</v>
      </c>
      <c r="D33" s="3">
        <v>8</v>
      </c>
      <c r="E33" s="3">
        <v>24</v>
      </c>
      <c r="F33" s="3" t="s">
        <v>39</v>
      </c>
      <c r="G33" s="3" t="s">
        <v>38</v>
      </c>
      <c r="H33" s="3"/>
      <c r="I33" s="3">
        <v>1</v>
      </c>
      <c r="J33" s="3">
        <v>1</v>
      </c>
      <c r="K33" s="3"/>
      <c r="L33" s="3"/>
      <c r="M33" s="3"/>
      <c r="N33" s="3">
        <v>1</v>
      </c>
      <c r="O33" s="3"/>
      <c r="P33" s="3"/>
      <c r="Q33" s="3"/>
      <c r="R33" s="3"/>
      <c r="S33" s="3"/>
      <c r="T33" s="3">
        <v>1</v>
      </c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>
        <v>4</v>
      </c>
      <c r="D34" s="3">
        <v>3</v>
      </c>
      <c r="E34" s="3">
        <v>1</v>
      </c>
      <c r="F34" s="3" t="s">
        <v>39</v>
      </c>
      <c r="G34" s="3" t="s">
        <v>38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>
        <v>23</v>
      </c>
      <c r="D36" s="3">
        <v>10</v>
      </c>
      <c r="E36" s="3">
        <v>13</v>
      </c>
      <c r="F36" s="3" t="s">
        <v>38</v>
      </c>
      <c r="G36" s="3" t="s">
        <v>38</v>
      </c>
      <c r="H36" s="3"/>
      <c r="I36" s="3">
        <v>3</v>
      </c>
      <c r="J36" s="3"/>
      <c r="K36" s="3"/>
      <c r="L36" s="3"/>
      <c r="M36" s="3"/>
      <c r="N36" s="3"/>
      <c r="O36" s="3"/>
      <c r="P36" s="3"/>
      <c r="Q36" s="3"/>
      <c r="R36" s="3">
        <v>1</v>
      </c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>
        <v>25</v>
      </c>
      <c r="D37" s="3">
        <v>8</v>
      </c>
      <c r="E37" s="3">
        <v>17</v>
      </c>
      <c r="F37" s="3" t="s">
        <v>39</v>
      </c>
      <c r="G37" s="3" t="s">
        <v>38</v>
      </c>
      <c r="H37" s="3"/>
      <c r="I37" s="3"/>
      <c r="J37" s="3"/>
      <c r="K37" s="3"/>
      <c r="L37" s="3"/>
      <c r="M37" s="3"/>
      <c r="N37" s="3">
        <v>1</v>
      </c>
      <c r="O37" s="3"/>
      <c r="P37" s="3"/>
      <c r="Q37" s="3"/>
      <c r="R37" s="3"/>
      <c r="S37" s="3">
        <v>1</v>
      </c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>
        <v>5</v>
      </c>
      <c r="D38" s="3">
        <v>2</v>
      </c>
      <c r="E38" s="3">
        <v>3</v>
      </c>
      <c r="F38" s="3" t="s">
        <v>39</v>
      </c>
      <c r="G38" s="3" t="s">
        <v>38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>
        <v>17</v>
      </c>
      <c r="D42" s="3">
        <v>10</v>
      </c>
      <c r="E42" s="3">
        <v>7</v>
      </c>
      <c r="F42" s="3" t="s">
        <v>38</v>
      </c>
      <c r="G42" s="3" t="s">
        <v>38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>
        <v>15</v>
      </c>
      <c r="D43" s="3">
        <v>9</v>
      </c>
      <c r="E43" s="3">
        <v>6</v>
      </c>
      <c r="F43" s="3" t="s">
        <v>39</v>
      </c>
      <c r="G43" s="3" t="s">
        <v>38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>
        <v>5</v>
      </c>
      <c r="D44" s="3">
        <v>2</v>
      </c>
      <c r="E44" s="3">
        <v>3</v>
      </c>
      <c r="F44" s="3" t="s">
        <v>38</v>
      </c>
      <c r="G44" s="3" t="s">
        <v>38</v>
      </c>
      <c r="H44" s="3"/>
      <c r="I44" s="3">
        <v>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>
        <v>43</v>
      </c>
      <c r="D45" s="3">
        <v>14</v>
      </c>
      <c r="E45" s="3">
        <v>29</v>
      </c>
      <c r="F45" s="3" t="s">
        <v>39</v>
      </c>
      <c r="G45" s="3" t="s">
        <v>39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>
        <v>1</v>
      </c>
      <c r="T45" s="3"/>
      <c r="U45" s="3"/>
      <c r="V45" s="3"/>
      <c r="W45" s="3"/>
      <c r="X45" s="3"/>
      <c r="Y45" s="3"/>
      <c r="Z45" s="3">
        <v>1</v>
      </c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>
        <v>5</v>
      </c>
      <c r="D47" s="3">
        <v>4</v>
      </c>
      <c r="E47" s="3">
        <v>1</v>
      </c>
      <c r="F47" s="3" t="s">
        <v>38</v>
      </c>
      <c r="G47" s="3" t="s">
        <v>38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>
        <v>18</v>
      </c>
      <c r="D48" s="3">
        <v>5</v>
      </c>
      <c r="E48" s="3">
        <v>13</v>
      </c>
      <c r="F48" s="3" t="s">
        <v>39</v>
      </c>
      <c r="G48" s="3" t="s">
        <v>39</v>
      </c>
      <c r="H48" s="3"/>
      <c r="I48" s="3">
        <v>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9</v>
      </c>
      <c r="D49" s="3">
        <v>4</v>
      </c>
      <c r="E49" s="3">
        <v>5</v>
      </c>
      <c r="F49" s="3" t="s">
        <v>38</v>
      </c>
      <c r="G49" s="3" t="s">
        <v>38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>
        <v>3</v>
      </c>
      <c r="D50" s="3">
        <v>2</v>
      </c>
      <c r="E50" s="3">
        <v>1</v>
      </c>
      <c r="F50" s="3" t="s">
        <v>38</v>
      </c>
      <c r="G50" s="3" t="s">
        <v>38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>
        <v>10</v>
      </c>
      <c r="D51" s="3">
        <v>5</v>
      </c>
      <c r="E51" s="3">
        <v>5</v>
      </c>
      <c r="F51" s="3" t="s">
        <v>38</v>
      </c>
      <c r="G51" s="3" t="s">
        <v>38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1</v>
      </c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>
        <v>22</v>
      </c>
      <c r="D52" s="3">
        <v>11</v>
      </c>
      <c r="E52" s="3">
        <v>11</v>
      </c>
      <c r="F52" s="3" t="s">
        <v>38</v>
      </c>
      <c r="G52" s="3" t="s">
        <v>38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>
        <v>2</v>
      </c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>
        <v>22</v>
      </c>
      <c r="D53" s="3">
        <v>12</v>
      </c>
      <c r="E53" s="3">
        <v>10</v>
      </c>
      <c r="F53" s="3" t="s">
        <v>38</v>
      </c>
      <c r="G53" s="3" t="s">
        <v>39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>
        <v>33</v>
      </c>
      <c r="D55" s="3">
        <v>12</v>
      </c>
      <c r="E55" s="3">
        <v>21</v>
      </c>
      <c r="F55" s="3" t="s">
        <v>38</v>
      </c>
      <c r="G55" s="3" t="s">
        <v>38</v>
      </c>
      <c r="H55" s="3"/>
      <c r="I55" s="3"/>
      <c r="J55" s="3">
        <v>3</v>
      </c>
      <c r="K55" s="3">
        <v>3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>
        <v>48</v>
      </c>
      <c r="D56" s="3">
        <v>23</v>
      </c>
      <c r="E56" s="3">
        <v>25</v>
      </c>
      <c r="F56" s="3" t="s">
        <v>38</v>
      </c>
      <c r="G56" s="3" t="s">
        <v>38</v>
      </c>
      <c r="H56" s="3"/>
      <c r="I56" s="3"/>
      <c r="J56" s="3">
        <v>1</v>
      </c>
      <c r="K56" s="3"/>
      <c r="L56" s="3"/>
      <c r="M56" s="3"/>
      <c r="N56" s="3"/>
      <c r="O56" s="3"/>
      <c r="P56" s="3"/>
      <c r="Q56" s="3"/>
      <c r="R56" s="3"/>
      <c r="S56" s="3"/>
      <c r="T56" s="3">
        <v>1</v>
      </c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>
        <v>10</v>
      </c>
      <c r="D58" s="3">
        <v>6</v>
      </c>
      <c r="E58" s="3">
        <v>4</v>
      </c>
      <c r="F58" s="3" t="s">
        <v>38</v>
      </c>
      <c r="G58" s="3" t="s">
        <v>38</v>
      </c>
      <c r="H58" s="3"/>
      <c r="I58" s="3">
        <v>1</v>
      </c>
      <c r="J58" s="3">
        <v>1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>
        <v>105</v>
      </c>
      <c r="D59" s="3">
        <v>52</v>
      </c>
      <c r="E59" s="3">
        <v>53</v>
      </c>
      <c r="F59" s="3" t="s">
        <v>38</v>
      </c>
      <c r="G59" s="3" t="s">
        <v>39</v>
      </c>
      <c r="H59" s="3">
        <v>4</v>
      </c>
      <c r="I59" s="3">
        <v>1</v>
      </c>
      <c r="J59" s="3">
        <v>1</v>
      </c>
      <c r="K59" s="3"/>
      <c r="L59" s="3"/>
      <c r="M59" s="3"/>
      <c r="N59" s="3"/>
      <c r="O59" s="3"/>
      <c r="P59" s="3"/>
      <c r="Q59" s="3">
        <v>2</v>
      </c>
      <c r="R59" s="3"/>
      <c r="S59" s="3"/>
      <c r="T59" s="3">
        <v>2</v>
      </c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>
        <v>12</v>
      </c>
      <c r="D60" s="3">
        <v>6</v>
      </c>
      <c r="E60" s="3">
        <v>6</v>
      </c>
      <c r="F60" s="3" t="s">
        <v>39</v>
      </c>
      <c r="G60" s="3" t="s">
        <v>39</v>
      </c>
      <c r="H60" s="3"/>
      <c r="I60" s="3"/>
      <c r="J60" s="3">
        <v>1</v>
      </c>
      <c r="K60" s="3"/>
      <c r="L60" s="3"/>
      <c r="M60" s="3"/>
      <c r="N60" s="3"/>
      <c r="O60" s="3"/>
      <c r="P60" s="3"/>
      <c r="Q60" s="3"/>
      <c r="R60" s="3"/>
      <c r="S60" s="3"/>
      <c r="T60" s="3">
        <v>1</v>
      </c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>
        <v>4</v>
      </c>
      <c r="D63" s="3">
        <v>2</v>
      </c>
      <c r="E63" s="3">
        <v>2</v>
      </c>
      <c r="F63" s="3" t="s">
        <v>39</v>
      </c>
      <c r="G63" s="3" t="s">
        <v>39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>
        <v>17</v>
      </c>
      <c r="D65" s="3">
        <v>10</v>
      </c>
      <c r="E65" s="3">
        <v>7</v>
      </c>
      <c r="F65" s="3" t="s">
        <v>38</v>
      </c>
      <c r="G65" s="3" t="s">
        <v>39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>
        <v>26</v>
      </c>
      <c r="D66" s="3">
        <v>10</v>
      </c>
      <c r="E66" s="3">
        <v>16</v>
      </c>
      <c r="F66" s="3" t="s">
        <v>38</v>
      </c>
      <c r="G66" s="3" t="s">
        <v>39</v>
      </c>
      <c r="H66" s="3"/>
      <c r="I66" s="3">
        <v>1</v>
      </c>
      <c r="J66" s="3">
        <v>1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2</v>
      </c>
      <c r="AB66" s="3"/>
    </row>
    <row r="67" spans="1:28" x14ac:dyDescent="0.3">
      <c r="A67" s="2">
        <v>46106</v>
      </c>
      <c r="B67" s="3" t="str">
        <f t="shared" si="2"/>
        <v>Wed</v>
      </c>
      <c r="C67" s="3">
        <v>132</v>
      </c>
      <c r="D67" s="3">
        <v>40</v>
      </c>
      <c r="E67" s="3">
        <v>92</v>
      </c>
      <c r="F67" s="3" t="s">
        <v>38</v>
      </c>
      <c r="G67" s="3" t="s">
        <v>39</v>
      </c>
      <c r="H67" s="3"/>
      <c r="I67" s="3">
        <v>8</v>
      </c>
      <c r="J67" s="3">
        <v>2</v>
      </c>
      <c r="K67" s="3"/>
      <c r="L67" s="3"/>
      <c r="M67" s="3"/>
      <c r="N67" s="3">
        <v>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>
        <v>2</v>
      </c>
      <c r="AB67" s="3">
        <v>1</v>
      </c>
    </row>
    <row r="68" spans="1:28" x14ac:dyDescent="0.3">
      <c r="A68" s="2">
        <v>46107</v>
      </c>
      <c r="B68" s="3" t="str">
        <f t="shared" si="2"/>
        <v>Thu</v>
      </c>
      <c r="C68" s="3">
        <v>119</v>
      </c>
      <c r="D68" s="3">
        <v>48</v>
      </c>
      <c r="E68" s="3">
        <v>71</v>
      </c>
      <c r="F68" s="3" t="s">
        <v>38</v>
      </c>
      <c r="G68" s="3" t="s">
        <v>38</v>
      </c>
      <c r="H68" s="3">
        <v>2</v>
      </c>
      <c r="I68" s="3"/>
      <c r="J68" s="3"/>
      <c r="K68" s="3"/>
      <c r="L68" s="3"/>
      <c r="M68" s="3"/>
      <c r="N68" s="3">
        <v>2</v>
      </c>
      <c r="O68" s="3"/>
      <c r="P68" s="3"/>
      <c r="Q68" s="3"/>
      <c r="R68" s="3"/>
      <c r="S68" s="3">
        <v>1</v>
      </c>
      <c r="T68" s="3">
        <v>2</v>
      </c>
      <c r="U68" s="3"/>
      <c r="V68" s="3"/>
      <c r="W68" s="3"/>
      <c r="X68" s="3"/>
      <c r="Y68" s="3"/>
      <c r="Z68" s="3"/>
      <c r="AA68" s="3">
        <v>2</v>
      </c>
      <c r="AB68" s="3">
        <v>2</v>
      </c>
    </row>
    <row r="69" spans="1:28" x14ac:dyDescent="0.3">
      <c r="A69" s="2">
        <v>46108</v>
      </c>
      <c r="B69" s="3" t="str">
        <f t="shared" si="2"/>
        <v>Fri</v>
      </c>
      <c r="C69" s="3">
        <v>6</v>
      </c>
      <c r="D69" s="3">
        <v>3</v>
      </c>
      <c r="E69" s="3">
        <v>3</v>
      </c>
      <c r="F69" s="3" t="s">
        <v>38</v>
      </c>
      <c r="G69" s="3" t="s">
        <v>38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</row>
    <row r="70" spans="1:28" x14ac:dyDescent="0.3">
      <c r="A70" s="2">
        <v>46109</v>
      </c>
      <c r="B70" s="3" t="str">
        <f t="shared" si="2"/>
        <v>Sat</v>
      </c>
      <c r="C70" s="3">
        <v>6</v>
      </c>
      <c r="D70" s="3">
        <v>3</v>
      </c>
      <c r="E70" s="3">
        <v>3</v>
      </c>
      <c r="F70" s="3" t="s">
        <v>38</v>
      </c>
      <c r="G70" s="3" t="s">
        <v>38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>
        <v>1</v>
      </c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>
        <v>2</v>
      </c>
      <c r="D71" s="3">
        <v>1</v>
      </c>
      <c r="E71" s="3">
        <v>1</v>
      </c>
      <c r="F71" s="3" t="s">
        <v>38</v>
      </c>
      <c r="G71" s="3" t="s">
        <v>38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>
        <v>98</v>
      </c>
      <c r="D72" s="3">
        <v>41</v>
      </c>
      <c r="E72" s="3">
        <v>57</v>
      </c>
      <c r="F72" s="3" t="s">
        <v>39</v>
      </c>
      <c r="G72" s="3" t="s">
        <v>39</v>
      </c>
      <c r="H72" s="3"/>
      <c r="I72" s="3"/>
      <c r="J72" s="3">
        <v>6</v>
      </c>
      <c r="K72" s="3">
        <v>4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</row>
    <row r="73" spans="1:28" x14ac:dyDescent="0.3">
      <c r="A73" s="2">
        <v>46112</v>
      </c>
      <c r="B73" s="3" t="str">
        <f t="shared" si="2"/>
        <v>Tue</v>
      </c>
      <c r="C73" s="3">
        <v>65</v>
      </c>
      <c r="D73" s="3">
        <v>29</v>
      </c>
      <c r="E73" s="3">
        <v>36</v>
      </c>
      <c r="F73" s="3" t="s">
        <v>39</v>
      </c>
      <c r="G73" s="3" t="s">
        <v>39</v>
      </c>
      <c r="H73" s="3"/>
      <c r="I73" s="3">
        <v>1</v>
      </c>
      <c r="J73" s="3">
        <v>4</v>
      </c>
      <c r="K73" s="3">
        <v>2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1</v>
      </c>
      <c r="AB73" s="3"/>
    </row>
    <row r="74" spans="1:28" x14ac:dyDescent="0.3">
      <c r="A74" s="2">
        <v>46113</v>
      </c>
      <c r="B74" s="3" t="str">
        <f t="shared" si="2"/>
        <v>Wed</v>
      </c>
      <c r="C74" s="3">
        <v>58</v>
      </c>
      <c r="D74" s="3">
        <v>30</v>
      </c>
      <c r="E74" s="3">
        <v>28</v>
      </c>
      <c r="F74" s="3" t="s">
        <v>39</v>
      </c>
      <c r="G74" s="3" t="s">
        <v>39</v>
      </c>
      <c r="H74" s="3">
        <v>1</v>
      </c>
      <c r="I74" s="3"/>
      <c r="J74" s="3">
        <v>3</v>
      </c>
      <c r="K74" s="3">
        <v>2</v>
      </c>
      <c r="L74" s="3"/>
      <c r="M74" s="3"/>
      <c r="N74" s="3"/>
      <c r="O74" s="3"/>
      <c r="P74" s="3"/>
      <c r="Q74" s="3"/>
      <c r="R74" s="3"/>
      <c r="S74" s="3"/>
      <c r="T74" s="3">
        <v>3</v>
      </c>
      <c r="U74" s="3"/>
      <c r="V74" s="3"/>
      <c r="W74" s="3"/>
      <c r="X74" s="3"/>
      <c r="Y74" s="3">
        <v>1</v>
      </c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>
        <v>15</v>
      </c>
      <c r="D76" s="3">
        <v>9</v>
      </c>
      <c r="E76" s="3">
        <v>6</v>
      </c>
      <c r="F76" s="3" t="s">
        <v>38</v>
      </c>
      <c r="G76" s="3" t="s">
        <v>38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>
        <v>10</v>
      </c>
      <c r="D77" s="3">
        <v>6</v>
      </c>
      <c r="E77" s="3">
        <v>4</v>
      </c>
      <c r="F77" s="3" t="s">
        <v>38</v>
      </c>
      <c r="G77" s="3" t="s">
        <v>38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>
        <v>1</v>
      </c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>
        <v>2</v>
      </c>
      <c r="D79" s="3"/>
      <c r="E79" s="3">
        <v>2</v>
      </c>
      <c r="F79" s="3" t="s">
        <v>39</v>
      </c>
      <c r="G79" s="3" t="s">
        <v>39</v>
      </c>
      <c r="H79" s="3"/>
      <c r="I79" s="3">
        <v>1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>
        <v>1</v>
      </c>
      <c r="D80" s="3">
        <v>1</v>
      </c>
      <c r="E80" s="3"/>
      <c r="F80" s="3" t="s">
        <v>38</v>
      </c>
      <c r="G80" s="3" t="s">
        <v>38</v>
      </c>
      <c r="H80" s="3"/>
      <c r="I80" s="3"/>
      <c r="J80" s="3">
        <v>1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>
        <v>1</v>
      </c>
      <c r="D81" s="3"/>
      <c r="E81" s="3">
        <v>1</v>
      </c>
      <c r="F81" s="3" t="s">
        <v>39</v>
      </c>
      <c r="G81" s="3" t="s">
        <v>39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>
        <v>1</v>
      </c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>
        <v>13</v>
      </c>
      <c r="D82" s="3">
        <v>5</v>
      </c>
      <c r="E82" s="3">
        <v>8</v>
      </c>
      <c r="F82" s="3" t="s">
        <v>39</v>
      </c>
      <c r="G82" s="3" t="s">
        <v>39</v>
      </c>
      <c r="H82" s="3"/>
      <c r="I82" s="3"/>
      <c r="J82" s="3"/>
      <c r="K82" s="3">
        <v>1</v>
      </c>
      <c r="L82" s="3"/>
      <c r="M82" s="3"/>
      <c r="N82" s="3">
        <v>1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>
        <v>28</v>
      </c>
      <c r="D84" s="3">
        <v>15</v>
      </c>
      <c r="E84" s="3">
        <v>13</v>
      </c>
      <c r="F84" s="3" t="s">
        <v>38</v>
      </c>
      <c r="G84" s="3" t="s">
        <v>39</v>
      </c>
      <c r="H84" s="3"/>
      <c r="I84" s="3">
        <v>2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/>
    </row>
    <row r="85" spans="1:28" x14ac:dyDescent="0.3">
      <c r="A85" s="2">
        <v>46124</v>
      </c>
      <c r="B85" s="3" t="str">
        <f t="shared" si="2"/>
        <v>Sun</v>
      </c>
      <c r="C85" s="3">
        <v>3</v>
      </c>
      <c r="D85" s="3">
        <v>1</v>
      </c>
      <c r="E85" s="3">
        <v>2</v>
      </c>
      <c r="F85" s="3" t="s">
        <v>38</v>
      </c>
      <c r="G85" s="3" t="s">
        <v>39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>
        <v>18</v>
      </c>
      <c r="D87" s="3">
        <v>8</v>
      </c>
      <c r="E87" s="3">
        <v>10</v>
      </c>
      <c r="F87" s="3" t="s">
        <v>39</v>
      </c>
      <c r="G87" s="3" t="s">
        <v>38</v>
      </c>
      <c r="H87" s="3"/>
      <c r="I87" s="3"/>
      <c r="J87" s="3">
        <v>2</v>
      </c>
      <c r="K87" s="3"/>
      <c r="L87" s="3"/>
      <c r="M87" s="3"/>
      <c r="N87" s="3"/>
      <c r="O87" s="3"/>
      <c r="P87" s="3"/>
      <c r="Q87" s="3"/>
      <c r="R87" s="3">
        <v>1</v>
      </c>
      <c r="S87" s="3"/>
      <c r="T87" s="3">
        <v>1</v>
      </c>
      <c r="U87" s="3"/>
      <c r="V87" s="3"/>
      <c r="W87" s="3"/>
      <c r="X87" s="3"/>
      <c r="Y87" s="3"/>
      <c r="Z87" s="3"/>
      <c r="AA87" s="3"/>
      <c r="AB87" s="3">
        <v>1</v>
      </c>
    </row>
    <row r="88" spans="1:28" x14ac:dyDescent="0.3">
      <c r="A88" s="2">
        <v>46127</v>
      </c>
      <c r="B88" s="3" t="str">
        <f t="shared" si="2"/>
        <v>Wed</v>
      </c>
      <c r="C88" s="3">
        <v>34</v>
      </c>
      <c r="D88" s="3">
        <v>13</v>
      </c>
      <c r="E88" s="3">
        <v>21</v>
      </c>
      <c r="F88" s="3" t="s">
        <v>38</v>
      </c>
      <c r="G88" s="3" t="s">
        <v>39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</row>
    <row r="89" spans="1:28" x14ac:dyDescent="0.3">
      <c r="A89" s="2">
        <v>46128</v>
      </c>
      <c r="B89" s="3" t="str">
        <f t="shared" si="2"/>
        <v>Thu</v>
      </c>
      <c r="C89" s="3">
        <v>12</v>
      </c>
      <c r="D89" s="3">
        <v>9</v>
      </c>
      <c r="E89" s="3">
        <v>3</v>
      </c>
      <c r="F89" s="3" t="s">
        <v>38</v>
      </c>
      <c r="G89" s="3" t="s">
        <v>39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>
        <v>18</v>
      </c>
      <c r="D90" s="3">
        <v>9</v>
      </c>
      <c r="E90" s="3">
        <v>9</v>
      </c>
      <c r="F90" s="3" t="s">
        <v>38</v>
      </c>
      <c r="G90" s="3" t="s">
        <v>39</v>
      </c>
      <c r="H90" s="3"/>
      <c r="I90" s="3"/>
      <c r="J90" s="3">
        <v>1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1</v>
      </c>
      <c r="AB90" s="3"/>
    </row>
    <row r="91" spans="1:28" x14ac:dyDescent="0.3">
      <c r="A91" s="2">
        <v>46130</v>
      </c>
      <c r="B91" s="3" t="str">
        <f t="shared" si="2"/>
        <v>Sat</v>
      </c>
      <c r="C91" s="3">
        <v>18</v>
      </c>
      <c r="D91" s="3">
        <v>10</v>
      </c>
      <c r="E91" s="3">
        <v>8</v>
      </c>
      <c r="F91" s="3" t="s">
        <v>38</v>
      </c>
      <c r="G91" s="3" t="s">
        <v>38</v>
      </c>
      <c r="H91" s="3"/>
      <c r="I91" s="3"/>
      <c r="J91" s="3"/>
      <c r="K91" s="3"/>
      <c r="L91" s="3"/>
      <c r="M91" s="3"/>
      <c r="N91" s="3"/>
      <c r="O91" s="3"/>
      <c r="P91" s="3"/>
      <c r="Q91" s="3">
        <v>1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>
        <v>4</v>
      </c>
      <c r="D92" s="3">
        <v>2</v>
      </c>
      <c r="E92" s="3">
        <v>2</v>
      </c>
      <c r="F92" s="3" t="s">
        <v>38</v>
      </c>
      <c r="G92" s="3" t="s">
        <v>39</v>
      </c>
      <c r="H92" s="3"/>
      <c r="I92" s="3"/>
      <c r="J92" s="3"/>
      <c r="K92" s="3">
        <v>2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>
        <v>13</v>
      </c>
      <c r="D93" s="3">
        <v>10</v>
      </c>
      <c r="E93" s="3">
        <v>3</v>
      </c>
      <c r="F93" s="3" t="s">
        <v>38</v>
      </c>
      <c r="G93" s="3" t="s">
        <v>39</v>
      </c>
      <c r="H93" s="3"/>
      <c r="I93" s="3"/>
      <c r="J93" s="3">
        <v>1</v>
      </c>
      <c r="K93" s="3">
        <v>1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>
        <v>6</v>
      </c>
      <c r="D95" s="3">
        <v>4</v>
      </c>
      <c r="E95" s="3">
        <v>2</v>
      </c>
      <c r="F95" s="3" t="s">
        <v>38</v>
      </c>
      <c r="G95" s="3" t="s">
        <v>38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>
        <v>8</v>
      </c>
      <c r="D96" s="3">
        <v>1</v>
      </c>
      <c r="E96" s="3">
        <v>7</v>
      </c>
      <c r="F96" s="3" t="s">
        <v>39</v>
      </c>
      <c r="G96" s="3" t="s">
        <v>39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>
        <v>24</v>
      </c>
      <c r="D97" s="3">
        <v>12</v>
      </c>
      <c r="E97" s="3">
        <v>12</v>
      </c>
      <c r="F97" s="3" t="s">
        <v>38</v>
      </c>
      <c r="G97" s="3" t="s">
        <v>39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>
        <v>2</v>
      </c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>
        <v>13</v>
      </c>
      <c r="D98" s="3">
        <v>4</v>
      </c>
      <c r="E98" s="3">
        <v>7</v>
      </c>
      <c r="F98" s="3" t="s">
        <v>38</v>
      </c>
      <c r="G98" s="3" t="s">
        <v>38</v>
      </c>
      <c r="H98" s="3"/>
      <c r="I98" s="3"/>
      <c r="J98" s="3"/>
      <c r="K98" s="3"/>
      <c r="L98" s="3"/>
      <c r="M98" s="3"/>
      <c r="N98" s="3">
        <v>1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>
        <v>14</v>
      </c>
      <c r="D99" s="3">
        <v>9</v>
      </c>
      <c r="E99" s="3">
        <v>5</v>
      </c>
      <c r="F99" s="3" t="s">
        <v>39</v>
      </c>
      <c r="G99" s="3" t="s">
        <v>39</v>
      </c>
      <c r="H99" s="3"/>
      <c r="I99" s="3"/>
      <c r="J99" s="3"/>
      <c r="K99" s="3"/>
      <c r="L99" s="3"/>
      <c r="M99" s="3"/>
      <c r="N99" s="3"/>
      <c r="O99" s="3"/>
      <c r="P99" s="3"/>
      <c r="Q99" s="3">
        <v>3</v>
      </c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>
        <v>42</v>
      </c>
      <c r="D100" s="3">
        <v>18</v>
      </c>
      <c r="E100" s="3">
        <v>24</v>
      </c>
      <c r="F100" s="3" t="s">
        <v>39</v>
      </c>
      <c r="G100" s="3" t="s">
        <v>39</v>
      </c>
      <c r="H100" s="3">
        <v>1</v>
      </c>
      <c r="I100" s="3"/>
      <c r="J100" s="3">
        <v>2</v>
      </c>
      <c r="K100" s="3"/>
      <c r="L100" s="3"/>
      <c r="M100" s="3"/>
      <c r="N100" s="3">
        <v>1</v>
      </c>
      <c r="O100" s="3"/>
      <c r="P100" s="3"/>
      <c r="Q100" s="3"/>
      <c r="R100" s="3"/>
      <c r="S100" s="3">
        <v>1</v>
      </c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>
        <v>6</v>
      </c>
      <c r="D101" s="3">
        <v>5</v>
      </c>
      <c r="E101" s="3">
        <v>1</v>
      </c>
      <c r="F101" s="3" t="s">
        <v>38</v>
      </c>
      <c r="G101" s="3" t="s">
        <v>39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>
        <v>1</v>
      </c>
      <c r="D102" s="3">
        <v>1</v>
      </c>
      <c r="E102" s="3"/>
      <c r="F102" s="3" t="s">
        <v>38</v>
      </c>
      <c r="G102" s="3" t="s">
        <v>38</v>
      </c>
      <c r="H102" s="3"/>
      <c r="I102" s="3"/>
      <c r="J102" s="3">
        <v>1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>
        <v>20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>
        <v>1</v>
      </c>
      <c r="D104" s="3">
        <v>1</v>
      </c>
      <c r="E104" s="3"/>
      <c r="F104" s="3" t="s">
        <v>38</v>
      </c>
      <c r="G104" s="3" t="s">
        <v>38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>
        <v>7</v>
      </c>
      <c r="D105" s="3">
        <v>4</v>
      </c>
      <c r="E105" s="3">
        <v>3</v>
      </c>
      <c r="F105" s="3" t="s">
        <v>39</v>
      </c>
      <c r="G105" s="3" t="s">
        <v>39</v>
      </c>
      <c r="H105" s="3"/>
      <c r="I105" s="3"/>
      <c r="J105" s="3">
        <v>2</v>
      </c>
      <c r="K105" s="3">
        <v>2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>
        <v>11</v>
      </c>
      <c r="D107" s="3">
        <v>5</v>
      </c>
      <c r="E107" s="3">
        <v>6</v>
      </c>
      <c r="F107" s="3" t="s">
        <v>38</v>
      </c>
      <c r="G107" s="3" t="s">
        <v>39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>
        <v>7</v>
      </c>
      <c r="D108" s="3">
        <v>4</v>
      </c>
      <c r="E108" s="3">
        <v>3</v>
      </c>
      <c r="F108" s="3" t="s">
        <v>38</v>
      </c>
      <c r="G108" s="3" t="s">
        <v>38</v>
      </c>
      <c r="H108" s="3"/>
      <c r="I108" s="3"/>
      <c r="J108" s="3">
        <v>1</v>
      </c>
      <c r="K108" s="3">
        <v>2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>
        <v>27</v>
      </c>
      <c r="D109" s="3">
        <v>9</v>
      </c>
      <c r="E109" s="3">
        <v>18</v>
      </c>
      <c r="F109" s="3" t="s">
        <v>38</v>
      </c>
      <c r="G109" s="3" t="s">
        <v>39</v>
      </c>
      <c r="H109" s="3"/>
      <c r="I109" s="3"/>
      <c r="J109" s="3">
        <v>1</v>
      </c>
      <c r="K109" s="3"/>
      <c r="L109" s="3">
        <v>1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13</v>
      </c>
      <c r="D110" s="3">
        <v>6</v>
      </c>
      <c r="E110" s="3">
        <v>7</v>
      </c>
      <c r="F110" s="3" t="s">
        <v>38</v>
      </c>
      <c r="G110" s="3" t="s">
        <v>39</v>
      </c>
      <c r="H110" s="3"/>
      <c r="I110" s="3"/>
      <c r="J110" s="3">
        <v>2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>
        <v>20</v>
      </c>
      <c r="D111" s="3">
        <v>9</v>
      </c>
      <c r="E111" s="3">
        <v>11</v>
      </c>
      <c r="F111" s="3" t="s">
        <v>39</v>
      </c>
      <c r="G111" s="3" t="s">
        <v>38</v>
      </c>
      <c r="H111" s="3"/>
      <c r="I111" s="3">
        <v>1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80</v>
      </c>
      <c r="C3" s="5"/>
    </row>
    <row r="4" spans="1:3" x14ac:dyDescent="0.3">
      <c r="A4" s="5" t="s">
        <v>31</v>
      </c>
      <c r="B4" s="5">
        <f>COUNTIF('WhatsApp Data'!F2:F111,"Me")</f>
        <v>53</v>
      </c>
      <c r="C4" s="5"/>
    </row>
    <row r="5" spans="1:3" x14ac:dyDescent="0.3">
      <c r="A5" s="5" t="s">
        <v>32</v>
      </c>
      <c r="B5" s="5">
        <f>COUNTIF('WhatsApp Data'!F2:F111,"You")</f>
        <v>26</v>
      </c>
      <c r="C5" s="5"/>
    </row>
    <row r="6" spans="1:3" x14ac:dyDescent="0.3">
      <c r="A6" s="5" t="s">
        <v>33</v>
      </c>
      <c r="B6" s="5">
        <f>COUNTIF('WhatsApp Data'!G2:G111,"Me")</f>
        <v>44</v>
      </c>
      <c r="C6" s="5"/>
    </row>
    <row r="7" spans="1:3" x14ac:dyDescent="0.3">
      <c r="A7" s="5" t="s">
        <v>34</v>
      </c>
      <c r="B7" s="5">
        <f>COUNTIF('WhatsApp Data'!G2:G111,"You")</f>
        <v>35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1645</v>
      </c>
      <c r="C10" s="6">
        <f t="shared" ref="C10:C33" si="0">IFERROR(B10/$B$2,0)</f>
        <v>14.954545454545455</v>
      </c>
    </row>
    <row r="11" spans="1:3" x14ac:dyDescent="0.3">
      <c r="A11" s="5" t="s">
        <v>3</v>
      </c>
      <c r="B11" s="5">
        <f>SUM('WhatsApp Data'!D2:D111)</f>
        <v>744</v>
      </c>
      <c r="C11" s="6">
        <f t="shared" si="0"/>
        <v>6.7636363636363637</v>
      </c>
    </row>
    <row r="12" spans="1:3" x14ac:dyDescent="0.3">
      <c r="A12" s="5" t="s">
        <v>4</v>
      </c>
      <c r="B12" s="5">
        <f>SUM('WhatsApp Data'!E2:E111)</f>
        <v>879</v>
      </c>
      <c r="C12" s="6">
        <f t="shared" si="0"/>
        <v>7.9909090909090912</v>
      </c>
    </row>
    <row r="13" spans="1:3" x14ac:dyDescent="0.3">
      <c r="A13" s="5" t="s">
        <v>7</v>
      </c>
      <c r="B13" s="5">
        <f>SUM('WhatsApp Data'!H2:H111)</f>
        <v>10</v>
      </c>
      <c r="C13" s="6">
        <f t="shared" si="0"/>
        <v>9.0909090909090912E-2</v>
      </c>
    </row>
    <row r="14" spans="1:3" x14ac:dyDescent="0.3">
      <c r="A14" s="5" t="s">
        <v>8</v>
      </c>
      <c r="B14" s="5">
        <f>SUM('WhatsApp Data'!I2:I111)</f>
        <v>24</v>
      </c>
      <c r="C14" s="6">
        <f t="shared" si="0"/>
        <v>0.21818181818181817</v>
      </c>
    </row>
    <row r="15" spans="1:3" x14ac:dyDescent="0.3">
      <c r="A15" s="5" t="s">
        <v>9</v>
      </c>
      <c r="B15" s="5">
        <f>SUM('WhatsApp Data'!J2:J111)</f>
        <v>48</v>
      </c>
      <c r="C15" s="6">
        <f t="shared" si="0"/>
        <v>0.43636363636363634</v>
      </c>
    </row>
    <row r="16" spans="1:3" x14ac:dyDescent="0.3">
      <c r="A16" s="5" t="s">
        <v>10</v>
      </c>
      <c r="B16" s="5">
        <f>SUM('WhatsApp Data'!K2:K111)</f>
        <v>25</v>
      </c>
      <c r="C16" s="6">
        <f t="shared" si="0"/>
        <v>0.22727272727272727</v>
      </c>
    </row>
    <row r="17" spans="1:3" x14ac:dyDescent="0.3">
      <c r="A17" s="5" t="s">
        <v>11</v>
      </c>
      <c r="B17" s="5">
        <f>SUM('WhatsApp Data'!L2:L111)</f>
        <v>1</v>
      </c>
      <c r="C17" s="6">
        <f t="shared" si="0"/>
        <v>9.0909090909090905E-3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8</v>
      </c>
      <c r="C19" s="6">
        <f t="shared" si="0"/>
        <v>7.2727272727272724E-2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6</v>
      </c>
      <c r="C22" s="6">
        <f t="shared" si="0"/>
        <v>5.4545454545454543E-2</v>
      </c>
    </row>
    <row r="23" spans="1:3" x14ac:dyDescent="0.3">
      <c r="A23" s="5" t="s">
        <v>17</v>
      </c>
      <c r="B23" s="5">
        <f>SUM('WhatsApp Data'!R2:R111)</f>
        <v>4</v>
      </c>
      <c r="C23" s="6">
        <f t="shared" si="0"/>
        <v>3.6363636363636362E-2</v>
      </c>
    </row>
    <row r="24" spans="1:3" x14ac:dyDescent="0.3">
      <c r="A24" s="5" t="s">
        <v>18</v>
      </c>
      <c r="B24" s="5">
        <f>SUM('WhatsApp Data'!S2:S111)</f>
        <v>8</v>
      </c>
      <c r="C24" s="6">
        <f t="shared" si="0"/>
        <v>7.2727272727272724E-2</v>
      </c>
    </row>
    <row r="25" spans="1:3" x14ac:dyDescent="0.3">
      <c r="A25" s="5" t="s">
        <v>19</v>
      </c>
      <c r="B25" s="5">
        <f>SUM('WhatsApp Data'!T2:T111)</f>
        <v>15</v>
      </c>
      <c r="C25" s="6">
        <f t="shared" si="0"/>
        <v>0.13636363636363635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1</v>
      </c>
      <c r="C29" s="6">
        <f t="shared" si="0"/>
        <v>9.0909090909090905E-3</v>
      </c>
    </row>
    <row r="30" spans="1:3" x14ac:dyDescent="0.3">
      <c r="A30" s="5" t="s">
        <v>24</v>
      </c>
      <c r="B30" s="5">
        <f>SUM('WhatsApp Data'!Y2:Y111)</f>
        <v>2</v>
      </c>
      <c r="C30" s="6">
        <f t="shared" si="0"/>
        <v>1.8181818181818181E-2</v>
      </c>
    </row>
    <row r="31" spans="1:3" x14ac:dyDescent="0.3">
      <c r="A31" s="5" t="s">
        <v>25</v>
      </c>
      <c r="B31" s="5">
        <f>SUM('WhatsApp Data'!Z2:Z111)</f>
        <v>6</v>
      </c>
      <c r="C31" s="6">
        <f t="shared" si="0"/>
        <v>5.4545454545454543E-2</v>
      </c>
    </row>
    <row r="32" spans="1:3" x14ac:dyDescent="0.3">
      <c r="A32" s="5" t="s">
        <v>26</v>
      </c>
      <c r="B32" s="5">
        <f>SUM('WhatsApp Data'!AA2:AA111)</f>
        <v>12</v>
      </c>
      <c r="C32" s="6">
        <f t="shared" si="0"/>
        <v>0.10909090909090909</v>
      </c>
    </row>
    <row r="33" spans="1:3" x14ac:dyDescent="0.3">
      <c r="A33" s="5" t="s">
        <v>27</v>
      </c>
      <c r="B33" s="5">
        <f>SUM('WhatsApp Data'!AB2:AB111)</f>
        <v>7</v>
      </c>
      <c r="C33" s="6">
        <f t="shared" si="0"/>
        <v>6.363636363636363E-2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2026-10-02T15:39:42Z</dcterms:modified>
  <dc:language>en-US</dc:language>
</cp:coreProperties>
</file>