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6D8CA3DB-0ADC-45C5-9AE4-4F8CD52EF0E8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C13" i="2" s="1"/>
  <c r="B12" i="2"/>
  <c r="C12" i="2" s="1"/>
  <c r="B11" i="2"/>
  <c r="C11" i="2" s="1"/>
  <c r="B10" i="2"/>
  <c r="C10" i="2" s="1"/>
  <c r="B7" i="2"/>
  <c r="B6" i="2"/>
  <c r="B5" i="2"/>
  <c r="B4" i="2"/>
  <c r="B3" i="2"/>
  <c r="B2" i="2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<sst xmlns="http://schemas.openxmlformats.org/spreadsheetml/2006/main" count="132" uniqueCount="40">
  <si>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</si>
  <si>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</si>
  <si>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</si>
  <si>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</si>
  <si>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</si>
  <si>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</si>
  <si>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</si>
  <si>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</si>
  <si>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</si>
  <si>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</si>
  <si>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</si>
  <si>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</si>
  <si>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</si>
  <si>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</si>
  <si>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</si>
  <si>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</si>
  <si>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</si>
  <si>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</si>
  <si>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</si>
  <si>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</si>
  <si>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</si>
  <si>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</si>
  <si>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</si>
  <si>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</si>
  <si>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</si>
  <si>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</si>
  <si>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</si>
  <si>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</si>
  <si>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</si>
  <si>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</si>
  <si>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</si>
  <si>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</si>
  <si>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</si>
  <si>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</si>
  <si>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</si>
  <si>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</si>
  <si>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</si>
  <si>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</si>
  <si>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Me</t>
  </si>
  <si>
    <t>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</si>
</sst>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zoomScaleNormal="100" workbookViewId="0">
      <pane xSplit="2" ySplit="1" topLeftCell="I85" activePane="bottomRight" state="frozen"/>
      <selection pane="topRight" activeCell="C1" sqref="C1"/>
      <selection pane="bottomLeft" activeCell="A2" sqref="A2"/>
      <selection pane="bottomRight" activeCell="T111" sqref="T111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>
        <v>24</v>
      </c>
      <c r="D4" s="3">
        <v>16</v>
      </c>
      <c r="E4" s="3">
        <v>8</v>
      </c>
      <c r="F4" s="3" t="s">
        <v>38</v>
      </c>
      <c r="G4" s="3" t="s">
        <v>38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>
        <v>1</v>
      </c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>
        <v>3</v>
      </c>
      <c r="D5" s="3">
        <v>2</v>
      </c>
      <c r="E5" s="3">
        <v>1</v>
      </c>
      <c r="F5" s="3" t="s">
        <v>38</v>
      </c>
      <c r="G5" s="3" t="s">
        <v>38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>
        <v>5</v>
      </c>
      <c r="D6" s="3">
        <v>3</v>
      </c>
      <c r="E6" s="3">
        <v>2</v>
      </c>
      <c r="F6" s="3" t="s">
        <v>38</v>
      </c>
      <c r="G6" s="3" t="s">
        <v>38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>
        <v>1</v>
      </c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>
        <v>22</v>
      </c>
      <c r="D8" s="3">
        <v>15</v>
      </c>
      <c r="E8" s="3">
        <v>7</v>
      </c>
      <c r="F8" s="3" t="s">
        <v>38</v>
      </c>
      <c r="G8" s="3" t="s">
        <v>38</v>
      </c>
      <c r="H8" s="3">
        <v>1</v>
      </c>
      <c r="I8" s="3"/>
      <c r="J8" s="3"/>
      <c r="K8" s="3"/>
      <c r="L8" s="3"/>
      <c r="M8" s="3"/>
      <c r="N8" s="3"/>
      <c r="O8" s="3"/>
      <c r="P8" s="3"/>
      <c r="Q8" s="3"/>
      <c r="R8" s="3"/>
      <c r="S8" s="3">
        <v>2</v>
      </c>
      <c r="T8" s="3">
        <v>1</v>
      </c>
      <c r="U8" s="3"/>
      <c r="V8" s="3"/>
      <c r="W8" s="3"/>
      <c r="X8" s="3"/>
      <c r="Y8" s="3"/>
      <c r="Z8" s="3"/>
      <c r="AA8" s="3">
        <v>1</v>
      </c>
      <c r="AB8" s="3"/>
    </row>
    <row r="9" spans="1:28" x14ac:dyDescent="0.3">
      <c r="A9" s="2">
        <v>46048</v>
      </c>
      <c r="B9" s="3" t="str">
        <f t="shared" si="0"/>
        <v>Mon</v>
      </c>
      <c r="C9" s="3">
        <v>3</v>
      </c>
      <c r="D9" s="3">
        <v>1</v>
      </c>
      <c r="E9" s="3">
        <v>2</v>
      </c>
      <c r="F9" s="3" t="s">
        <v>39</v>
      </c>
      <c r="G9" s="3" t="s">
        <v>39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>
        <v>12</v>
      </c>
      <c r="D13" s="3">
        <v>10</v>
      </c>
      <c r="E13" s="3">
        <v>2</v>
      </c>
      <c r="F13" s="3" t="s">
        <v>39</v>
      </c>
      <c r="G13" s="3" t="s">
        <v>38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>
        <v>10</v>
      </c>
      <c r="D15" s="3">
        <v>6</v>
      </c>
      <c r="E15" s="3">
        <v>4</v>
      </c>
      <c r="F15" s="3" t="s">
        <v>39</v>
      </c>
      <c r="G15" s="3" t="s">
        <v>38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>
        <v>1</v>
      </c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>
        <v>12</v>
      </c>
      <c r="D23" s="3">
        <v>8</v>
      </c>
      <c r="E23" s="3">
        <v>4</v>
      </c>
      <c r="F23" s="3" t="s">
        <v>38</v>
      </c>
      <c r="G23" s="3" t="s">
        <v>39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>
        <v>1</v>
      </c>
      <c r="AB23" s="3"/>
    </row>
    <row r="24" spans="1:28" x14ac:dyDescent="0.3">
      <c r="A24" s="2">
        <v>46063</v>
      </c>
      <c r="B24" s="3" t="str">
        <f t="shared" si="0"/>
        <v>Tue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>
        <v>3</v>
      </c>
      <c r="D30" s="3">
        <v>2</v>
      </c>
      <c r="E30" s="3">
        <v>1</v>
      </c>
      <c r="F30" s="3" t="s">
        <v>38</v>
      </c>
      <c r="G30" s="3" t="s">
        <v>38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>
        <v>19</v>
      </c>
      <c r="D31" s="3">
        <v>11</v>
      </c>
      <c r="E31" s="3">
        <v>8</v>
      </c>
      <c r="F31" s="3" t="s">
        <v>38</v>
      </c>
      <c r="G31" s="3" t="s">
        <v>39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>
        <v>1</v>
      </c>
      <c r="T31" s="3">
        <v>1</v>
      </c>
      <c r="U31" s="3"/>
      <c r="V31" s="3"/>
      <c r="W31" s="3"/>
      <c r="X31" s="3"/>
      <c r="Y31" s="3"/>
      <c r="Z31" s="3"/>
      <c r="AA31" s="3">
        <v>1</v>
      </c>
      <c r="AB31" s="3">
        <v>1</v>
      </c>
    </row>
    <row r="32" spans="1:28" x14ac:dyDescent="0.3">
      <c r="A32" s="2">
        <v>46071</v>
      </c>
      <c r="B32" s="3" t="str">
        <f t="shared" si="0"/>
        <v>Wed</v>
      </c>
      <c r="C32" s="3">
        <v>2</v>
      </c>
      <c r="D32" s="3">
        <v>2</v>
      </c>
      <c r="E32" s="3"/>
      <c r="F32" s="3" t="s">
        <v>38</v>
      </c>
      <c r="G32" s="3" t="s">
        <v>38</v>
      </c>
      <c r="H32" s="3"/>
      <c r="I32" s="3"/>
      <c r="J32" s="3">
        <v>2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>
        <v>1</v>
      </c>
      <c r="D34" s="3">
        <v>1</v>
      </c>
      <c r="E34" s="3"/>
      <c r="F34" s="3" t="s">
        <v>38</v>
      </c>
      <c r="G34" s="3" t="s">
        <v>38</v>
      </c>
      <c r="H34" s="3"/>
      <c r="I34" s="3"/>
      <c r="J34" s="3"/>
      <c r="K34" s="3"/>
      <c r="L34" s="3"/>
      <c r="M34" s="3"/>
      <c r="N34" s="3"/>
      <c r="O34" s="3"/>
      <c r="P34" s="3"/>
      <c r="Q34" s="3">
        <v>1</v>
      </c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>
        <v>1</v>
      </c>
      <c r="D37" s="3">
        <v>1</v>
      </c>
      <c r="E37" s="3"/>
      <c r="F37" s="3" t="s">
        <v>38</v>
      </c>
      <c r="G37" s="3" t="s">
        <v>38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>
        <v>17</v>
      </c>
      <c r="D40" s="3">
        <v>8</v>
      </c>
      <c r="E40" s="3">
        <v>9</v>
      </c>
      <c r="F40" s="3" t="s">
        <v>39</v>
      </c>
      <c r="G40" s="3" t="s">
        <v>39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>
        <v>2</v>
      </c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>
        <v>3</v>
      </c>
      <c r="D41" s="3">
        <v>1</v>
      </c>
      <c r="E41" s="3">
        <v>2</v>
      </c>
      <c r="F41" s="3" t="s">
        <v>39</v>
      </c>
      <c r="G41" s="3" t="s">
        <v>39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>
        <v>5</v>
      </c>
      <c r="D45" s="3">
        <v>3</v>
      </c>
      <c r="E45" s="3">
        <v>2</v>
      </c>
      <c r="F45" s="3" t="s">
        <v>38</v>
      </c>
      <c r="G45" s="3" t="s">
        <v>38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>
        <v>9</v>
      </c>
      <c r="D48" s="3">
        <v>4</v>
      </c>
      <c r="E48" s="3">
        <v>5</v>
      </c>
      <c r="F48" s="3" t="s">
        <v>39</v>
      </c>
      <c r="G48" s="3" t="s">
        <v>39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>
        <v>10</v>
      </c>
      <c r="D55" s="3">
        <v>8</v>
      </c>
      <c r="E55" s="3">
        <v>2</v>
      </c>
      <c r="F55" s="3" t="s">
        <v>38</v>
      </c>
      <c r="G55" s="3" t="s">
        <v>39</v>
      </c>
      <c r="H55" s="3">
        <v>4</v>
      </c>
      <c r="I55" s="3"/>
      <c r="J55" s="3">
        <v>4</v>
      </c>
      <c r="K55" s="3"/>
      <c r="L55" s="3"/>
      <c r="M55" s="3"/>
      <c r="N55" s="3"/>
      <c r="O55" s="3"/>
      <c r="P55" s="3"/>
      <c r="Q55" s="3"/>
      <c r="R55" s="3"/>
      <c r="S55" s="3"/>
      <c r="T55" s="3">
        <v>1</v>
      </c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>
        <v>3</v>
      </c>
      <c r="D56" s="3">
        <v>2</v>
      </c>
      <c r="E56" s="3">
        <v>1</v>
      </c>
      <c r="F56" s="3" t="s">
        <v>38</v>
      </c>
      <c r="G56" s="3" t="s">
        <v>38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>
        <v>1</v>
      </c>
      <c r="D57" s="3">
        <v>1</v>
      </c>
      <c r="E57" s="3"/>
      <c r="F57" s="3" t="s">
        <v>38</v>
      </c>
      <c r="G57" s="3" t="s">
        <v>38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>
        <v>14</v>
      </c>
      <c r="D59" s="3">
        <v>7</v>
      </c>
      <c r="E59" s="3">
        <v>7</v>
      </c>
      <c r="F59" s="3" t="s">
        <v>38</v>
      </c>
      <c r="G59" s="3" t="s">
        <v>38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1</v>
      </c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>
        <v>19</v>
      </c>
      <c r="D61" s="3">
        <v>12</v>
      </c>
      <c r="E61" s="3">
        <v>7</v>
      </c>
      <c r="F61" s="3" t="s">
        <v>38</v>
      </c>
      <c r="G61" s="3" t="s">
        <v>39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>
        <v>2</v>
      </c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>
        <v>34</v>
      </c>
      <c r="D67" s="3">
        <v>17</v>
      </c>
      <c r="E67" s="3">
        <v>17</v>
      </c>
      <c r="F67" s="3" t="s">
        <v>38</v>
      </c>
      <c r="G67" s="3" t="s">
        <v>38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3</v>
      </c>
      <c r="U67" s="3"/>
      <c r="V67" s="3"/>
      <c r="W67" s="3"/>
      <c r="X67" s="3"/>
      <c r="Y67" s="3"/>
      <c r="Z67" s="3"/>
      <c r="AA67" s="3">
        <v>1</v>
      </c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>
        <v>5</v>
      </c>
      <c r="D70" s="3">
        <v>3</v>
      </c>
      <c r="E70" s="3">
        <v>2</v>
      </c>
      <c r="F70" s="3" t="s">
        <v>38</v>
      </c>
      <c r="G70" s="3" t="s">
        <v>38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>
        <v>15</v>
      </c>
      <c r="D74" s="3">
        <v>7</v>
      </c>
      <c r="E74" s="3">
        <v>8</v>
      </c>
      <c r="F74" s="3" t="s">
        <v>38</v>
      </c>
      <c r="G74" s="3" t="s">
        <v>38</v>
      </c>
      <c r="H74" s="3"/>
      <c r="I74" s="3"/>
      <c r="J74" s="3">
        <v>1</v>
      </c>
      <c r="K74" s="3"/>
      <c r="L74" s="3"/>
      <c r="M74" s="3"/>
      <c r="N74" s="3"/>
      <c r="O74" s="3"/>
      <c r="P74" s="3"/>
      <c r="Q74" s="3"/>
      <c r="R74" s="3"/>
      <c r="S74" s="3"/>
      <c r="T74" s="3">
        <v>1</v>
      </c>
      <c r="U74" s="3"/>
      <c r="V74" s="3"/>
      <c r="W74" s="3"/>
      <c r="X74" s="3"/>
      <c r="Y74" s="3"/>
      <c r="Z74" s="3"/>
      <c r="AA74" s="3">
        <v>1</v>
      </c>
      <c r="AB74" s="3">
        <v>1</v>
      </c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>
        <v>1</v>
      </c>
      <c r="D84" s="3">
        <v>1</v>
      </c>
      <c r="E84" s="3"/>
      <c r="F84" s="3" t="s">
        <v>38</v>
      </c>
      <c r="G84" s="3" t="s">
        <v>38</v>
      </c>
      <c r="H84" s="3">
        <v>1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>
        <v>1</v>
      </c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>
        <v>1</v>
      </c>
      <c r="D88" s="3">
        <v>1</v>
      </c>
      <c r="E88" s="3"/>
      <c r="F88" s="3" t="s">
        <v>38</v>
      </c>
      <c r="G88" s="3" t="s">
        <v>38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>
        <v>1</v>
      </c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>
        <v>41</v>
      </c>
      <c r="D89" s="3">
        <v>29</v>
      </c>
      <c r="E89" s="3">
        <v>12</v>
      </c>
      <c r="F89" s="3" t="s">
        <v>38</v>
      </c>
      <c r="G89" s="3" t="s">
        <v>39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>
        <v>3</v>
      </c>
      <c r="D90" s="3">
        <v>2</v>
      </c>
      <c r="E90" s="3">
        <v>1</v>
      </c>
      <c r="F90" s="3" t="s">
        <v>38</v>
      </c>
      <c r="G90" s="3" t="s">
        <v>38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>
        <v>10</v>
      </c>
      <c r="D94" s="3">
        <v>7</v>
      </c>
      <c r="E94" s="3">
        <v>3</v>
      </c>
      <c r="F94" s="3" t="s">
        <v>38</v>
      </c>
      <c r="G94" s="3" t="s">
        <v>38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>
        <v>1</v>
      </c>
      <c r="U94" s="3"/>
      <c r="V94" s="3"/>
      <c r="W94" s="3"/>
      <c r="X94" s="3">
        <v>1</v>
      </c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>
        <v>7</v>
      </c>
      <c r="D96" s="3">
        <v>5</v>
      </c>
      <c r="E96" s="3">
        <v>2</v>
      </c>
      <c r="F96" s="3" t="s">
        <v>38</v>
      </c>
      <c r="G96" s="3" t="s">
        <v>38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>
        <v>9</v>
      </c>
      <c r="D97" s="3">
        <v>4</v>
      </c>
      <c r="E97" s="3">
        <v>5</v>
      </c>
      <c r="F97" s="3" t="s">
        <v>38</v>
      </c>
      <c r="G97" s="3" t="s">
        <v>38</v>
      </c>
      <c r="H97" s="3"/>
      <c r="I97" s="3"/>
      <c r="J97" s="3">
        <v>1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>
        <v>1</v>
      </c>
      <c r="AA97" s="3"/>
      <c r="AB97" s="3">
        <v>1</v>
      </c>
    </row>
    <row r="98" spans="1:28" x14ac:dyDescent="0.3">
      <c r="A98" s="2">
        <v>46137</v>
      </c>
      <c r="B98" s="3" t="str">
        <f t="shared" ref="B98:B129" si="3">TEXT(A98,"ddd")</f>
        <v>Sat</v>
      </c>
      <c r="C98" s="3">
        <v>18</v>
      </c>
      <c r="D98" s="3">
        <v>15</v>
      </c>
      <c r="E98" s="3">
        <v>3</v>
      </c>
      <c r="F98" s="3" t="s">
        <v>38</v>
      </c>
      <c r="G98" s="3" t="s">
        <v>39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>
        <v>1</v>
      </c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>
        <v>8</v>
      </c>
      <c r="D105" s="3">
        <v>6</v>
      </c>
      <c r="E105" s="3">
        <v>2</v>
      </c>
      <c r="F105" s="3" t="s">
        <v>38</v>
      </c>
      <c r="G105" s="3" t="s">
        <v>38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>
        <v>13</v>
      </c>
      <c r="D111" s="3">
        <v>7</v>
      </c>
      <c r="E111" s="3">
        <v>6</v>
      </c>
      <c r="F111" s="3" t="s">
        <v>38</v>
      </c>
      <c r="G111" s="3" t="s">
        <v>38</v>
      </c>
      <c r="H111" s="3"/>
      <c r="I111" s="3">
        <v>1</v>
      </c>
      <c r="J111" s="3"/>
      <c r="K111" s="3"/>
      <c r="L111" s="3"/>
      <c r="M111" s="3"/>
      <c r="N111" s="3"/>
      <c r="O111" s="3"/>
      <c r="P111" s="3"/>
      <c r="Q111" s="3"/>
      <c r="R111" s="3"/>
      <c r="S111" s="3">
        <v>1</v>
      </c>
      <c r="T111" s="3">
        <v>1</v>
      </c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tabSelected="1"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35</v>
      </c>
      <c r="C3" s="5"/>
    </row>
    <row r="4" spans="1:3" x14ac:dyDescent="0.3">
      <c r="A4" s="5" t="s">
        <v>31</v>
      </c>
      <c r="B4" s="5">
        <f>COUNTIF('WhatsApp Data'!F2:F111,"Me")</f>
        <v>29</v>
      </c>
      <c r="C4" s="5"/>
    </row>
    <row r="5" spans="1:3" x14ac:dyDescent="0.3">
      <c r="A5" s="5" t="s">
        <v>32</v>
      </c>
      <c r="B5" s="5">
        <f>COUNTIF('WhatsApp Data'!F2:F111,"You")</f>
        <v>6</v>
      </c>
      <c r="C5" s="5"/>
    </row>
    <row r="6" spans="1:3" x14ac:dyDescent="0.3">
      <c r="A6" s="5" t="s">
        <v>33</v>
      </c>
      <c r="B6" s="5">
        <f>COUNTIF('WhatsApp Data'!G2:G111,"Me")</f>
        <v>25</v>
      </c>
      <c r="C6" s="5"/>
    </row>
    <row r="7" spans="1:3" x14ac:dyDescent="0.3">
      <c r="A7" s="5" t="s">
        <v>34</v>
      </c>
      <c r="B7" s="5">
        <f>COUNTIF('WhatsApp Data'!G2:G111,"You")</f>
        <v>10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363</v>
      </c>
      <c r="C10" s="6">
        <f t="shared" ref="C10:C33" si="0">IFERROR(B10/$B$2,0)</f>
        <v>3.3</v>
      </c>
    </row>
    <row r="11" spans="1:3" x14ac:dyDescent="0.3">
      <c r="A11" s="5" t="s">
        <v>3</v>
      </c>
      <c r="B11" s="5">
        <f>SUM('WhatsApp Data'!D2:D111)</f>
        <v>228</v>
      </c>
      <c r="C11" s="6">
        <f t="shared" si="0"/>
        <v>2.0727272727272728</v>
      </c>
    </row>
    <row r="12" spans="1:3" x14ac:dyDescent="0.3">
      <c r="A12" s="5" t="s">
        <v>4</v>
      </c>
      <c r="B12" s="5">
        <f>SUM('WhatsApp Data'!E2:E111)</f>
        <v>135</v>
      </c>
      <c r="C12" s="6">
        <f t="shared" si="0"/>
        <v>1.2272727272727273</v>
      </c>
    </row>
    <row r="13" spans="1:3" x14ac:dyDescent="0.3">
      <c r="A13" s="5" t="s">
        <v>7</v>
      </c>
      <c r="B13" s="5">
        <f>SUM('WhatsApp Data'!H2:H111)</f>
        <v>6</v>
      </c>
      <c r="C13" s="6">
        <f t="shared" si="0"/>
        <v>5.4545454545454543E-2</v>
      </c>
    </row>
    <row r="14" spans="1:3" x14ac:dyDescent="0.3">
      <c r="A14" s="5" t="s">
        <v>8</v>
      </c>
      <c r="B14" s="5">
        <f>SUM('WhatsApp Data'!I2:I111)</f>
        <v>1</v>
      </c>
      <c r="C14" s="6">
        <f t="shared" si="0"/>
        <v>9.0909090909090905E-3</v>
      </c>
    </row>
    <row r="15" spans="1:3" x14ac:dyDescent="0.3">
      <c r="A15" s="5" t="s">
        <v>9</v>
      </c>
      <c r="B15" s="5">
        <f>SUM('WhatsApp Data'!J2:J111)</f>
        <v>8</v>
      </c>
      <c r="C15" s="6">
        <f t="shared" si="0"/>
        <v>7.2727272727272724E-2</v>
      </c>
    </row>
    <row r="16" spans="1:3" x14ac:dyDescent="0.3">
      <c r="A16" s="5" t="s">
        <v>10</v>
      </c>
      <c r="B16" s="5">
        <f>SUM('WhatsApp Data'!K2:K111)</f>
        <v>0</v>
      </c>
      <c r="C16" s="6">
        <f t="shared" si="0"/>
        <v>0</v>
      </c>
    </row>
    <row r="17" spans="1:3" x14ac:dyDescent="0.3">
      <c r="A17" s="5" t="s">
        <v>11</v>
      </c>
      <c r="B17" s="5">
        <f>SUM('WhatsApp Data'!L2:L111)</f>
        <v>0</v>
      </c>
      <c r="C17" s="6">
        <f t="shared" si="0"/>
        <v>0</v>
      </c>
    </row>
    <row r="18" spans="1:3" x14ac:dyDescent="0.3">
      <c r="A18" s="5" t="s">
        <v>12</v>
      </c>
      <c r="B18" s="5">
        <f>SUM('WhatsApp Data'!M2:M111)</f>
        <v>0</v>
      </c>
      <c r="C18" s="6">
        <f t="shared" si="0"/>
        <v>0</v>
      </c>
    </row>
    <row r="19" spans="1:3" x14ac:dyDescent="0.3">
      <c r="A19" s="5" t="s">
        <v>13</v>
      </c>
      <c r="B19" s="5">
        <f>SUM('WhatsApp Data'!N2:N111)</f>
        <v>0</v>
      </c>
      <c r="C19" s="6">
        <f t="shared" si="0"/>
        <v>0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0</v>
      </c>
      <c r="C21" s="6">
        <f t="shared" si="0"/>
        <v>0</v>
      </c>
    </row>
    <row r="22" spans="1:3" x14ac:dyDescent="0.3">
      <c r="A22" s="5" t="s">
        <v>16</v>
      </c>
      <c r="B22" s="5">
        <f>SUM('WhatsApp Data'!Q2:Q111)</f>
        <v>1</v>
      </c>
      <c r="C22" s="6">
        <f t="shared" si="0"/>
        <v>9.0909090909090905E-3</v>
      </c>
    </row>
    <row r="23" spans="1:3" x14ac:dyDescent="0.3">
      <c r="A23" s="5" t="s">
        <v>17</v>
      </c>
      <c r="B23" s="5">
        <f>SUM('WhatsApp Data'!R2:R111)</f>
        <v>0</v>
      </c>
      <c r="C23" s="6">
        <f t="shared" si="0"/>
        <v>0</v>
      </c>
    </row>
    <row r="24" spans="1:3" x14ac:dyDescent="0.3">
      <c r="A24" s="5" t="s">
        <v>18</v>
      </c>
      <c r="B24" s="5">
        <f>SUM('WhatsApp Data'!S2:S111)</f>
        <v>7</v>
      </c>
      <c r="C24" s="6">
        <f t="shared" si="0"/>
        <v>6.363636363636363E-2</v>
      </c>
    </row>
    <row r="25" spans="1:3" x14ac:dyDescent="0.3">
      <c r="A25" s="5" t="s">
        <v>19</v>
      </c>
      <c r="B25" s="5">
        <f>SUM('WhatsApp Data'!T2:T111)</f>
        <v>14</v>
      </c>
      <c r="C25" s="6">
        <f t="shared" si="0"/>
        <v>0.12727272727272726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3</v>
      </c>
      <c r="C29" s="6">
        <f t="shared" si="0"/>
        <v>2.7272727272727271E-2</v>
      </c>
    </row>
    <row r="30" spans="1:3" x14ac:dyDescent="0.3">
      <c r="A30" s="5" t="s">
        <v>24</v>
      </c>
      <c r="B30" s="5">
        <f>SUM('WhatsApp Data'!Y2:Y111)</f>
        <v>0</v>
      </c>
      <c r="C30" s="6">
        <f t="shared" si="0"/>
        <v>0</v>
      </c>
    </row>
    <row r="31" spans="1:3" x14ac:dyDescent="0.3">
      <c r="A31" s="5" t="s">
        <v>25</v>
      </c>
      <c r="B31" s="5">
        <f>SUM('WhatsApp Data'!Z2:Z111)</f>
        <v>1</v>
      </c>
      <c r="C31" s="6">
        <f t="shared" si="0"/>
        <v>9.0909090909090905E-3</v>
      </c>
    </row>
    <row r="32" spans="1:3" x14ac:dyDescent="0.3">
      <c r="A32" s="5" t="s">
        <v>26</v>
      </c>
      <c r="B32" s="5">
        <f>SUM('WhatsApp Data'!AA2:AA111)</f>
        <v>5</v>
      </c>
      <c r="C32" s="6">
        <f t="shared" si="0"/>
        <v>4.5454545454545456E-2</v>
      </c>
    </row>
    <row r="33" spans="1:3" x14ac:dyDescent="0.3">
      <c r="A33" s="5" t="s">
        <v>27</v>
      </c>
      <c r="B33" s="5">
        <f>SUM('WhatsApp Data'!AB2:AB111)</f>
        <v>4</v>
      </c>
      <c r="C33" s="6">
        <f t="shared" si="0"/>
        <v>3.6363636363636362E-2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2026-10-03T16:54:46Z</dcterms:modified>
  <dc:language>en-US</dc:language>
</cp:coreProperties>
</file>