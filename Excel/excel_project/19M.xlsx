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64429C1-1F75-4FE1-AA59-CB560C67EEF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<sst xmlns="http://schemas.openxmlformats.org/spreadsheetml/2006/main" count="130" uniqueCount="40">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</sst>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Q82" activePane="bottomRight" state="frozen"/>
      <selection pane="topRight" activeCell="C1" sqref="C1"/>
      <selection pane="bottomLeft" activeCell="A2" sqref="A2"/>
      <selection pane="bottomRight" activeCell="AC111" sqref="AC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3</v>
      </c>
      <c r="D5" s="3">
        <v>2</v>
      </c>
      <c r="E5" s="3">
        <v>1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2</v>
      </c>
      <c r="D11" s="3">
        <v>2</v>
      </c>
      <c r="E11" s="3"/>
      <c r="F11" s="3" t="s">
        <v>38</v>
      </c>
      <c r="G11" s="3" t="s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19</v>
      </c>
      <c r="D14" s="3">
        <v>14</v>
      </c>
      <c r="E14" s="3">
        <v>5</v>
      </c>
      <c r="F14" s="3" t="s">
        <v>38</v>
      </c>
      <c r="G14" s="3" t="s">
        <v>38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4</v>
      </c>
      <c r="AB14" s="3"/>
    </row>
    <row r="15" spans="1:28" x14ac:dyDescent="0.3">
      <c r="A15" s="2">
        <v>46054</v>
      </c>
      <c r="B15" s="3" t="str">
        <f t="shared" si="0"/>
        <v>Sun</v>
      </c>
      <c r="C15" s="3">
        <v>12</v>
      </c>
      <c r="D15" s="3">
        <v>7</v>
      </c>
      <c r="E15" s="3">
        <v>5</v>
      </c>
      <c r="F15" s="3" t="s">
        <v>38</v>
      </c>
      <c r="G15" s="3" t="s">
        <v>38</v>
      </c>
      <c r="H15" s="3"/>
      <c r="I15" s="3"/>
      <c r="J15" s="3">
        <v>1</v>
      </c>
      <c r="K15" s="3"/>
      <c r="L15" s="3"/>
      <c r="M15" s="3"/>
      <c r="N15" s="3"/>
      <c r="O15" s="3"/>
      <c r="P15" s="3"/>
      <c r="Q15" s="3"/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8</v>
      </c>
      <c r="D19" s="3">
        <v>8</v>
      </c>
      <c r="E19" s="3"/>
      <c r="F19" s="3" t="s">
        <v>38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>
        <v>13</v>
      </c>
      <c r="D20" s="3">
        <v>2</v>
      </c>
      <c r="E20" s="3">
        <v>11</v>
      </c>
      <c r="F20" s="3" t="s">
        <v>39</v>
      </c>
      <c r="G20" s="3" t="s">
        <v>39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11</v>
      </c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6</v>
      </c>
      <c r="D23" s="3">
        <v>4</v>
      </c>
      <c r="E23" s="3">
        <v>2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>
        <v>1</v>
      </c>
      <c r="U23" s="3"/>
      <c r="V23" s="3"/>
      <c r="W23" s="3"/>
      <c r="X23" s="3"/>
      <c r="Y23" s="3"/>
      <c r="Z23" s="3"/>
      <c r="AA23" s="3">
        <v>1</v>
      </c>
      <c r="AB23" s="3"/>
    </row>
    <row r="24" spans="1:28" x14ac:dyDescent="0.3">
      <c r="A24" s="2">
        <v>46063</v>
      </c>
      <c r="B24" s="3" t="str">
        <f t="shared" si="0"/>
        <v>Tue</v>
      </c>
      <c r="C24" s="3">
        <v>14</v>
      </c>
      <c r="D24" s="3">
        <v>8</v>
      </c>
      <c r="E24" s="3">
        <v>6</v>
      </c>
      <c r="F24" s="3" t="s">
        <v>39</v>
      </c>
      <c r="G24" s="3" t="s">
        <v>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</v>
      </c>
      <c r="D25" s="3">
        <v>1</v>
      </c>
      <c r="E25" s="3"/>
      <c r="F25" s="3" t="s">
        <v>38</v>
      </c>
      <c r="G25" s="3" t="s">
        <v>38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7</v>
      </c>
      <c r="D29" s="3">
        <v>5</v>
      </c>
      <c r="E29" s="3">
        <v>2</v>
      </c>
      <c r="F29" s="3" t="s">
        <v>38</v>
      </c>
      <c r="G29" s="3" t="s">
        <v>39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</row>
    <row r="30" spans="1:28" x14ac:dyDescent="0.3">
      <c r="A30" s="2">
        <v>46069</v>
      </c>
      <c r="B30" s="3" t="str">
        <f t="shared" si="0"/>
        <v>Mon</v>
      </c>
      <c r="C30" s="3">
        <v>4</v>
      </c>
      <c r="D30" s="3">
        <v>2</v>
      </c>
      <c r="E30" s="3">
        <v>2</v>
      </c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2</v>
      </c>
      <c r="D32" s="3">
        <v>1</v>
      </c>
      <c r="E32" s="3">
        <v>1</v>
      </c>
      <c r="F32" s="3" t="s">
        <v>39</v>
      </c>
      <c r="G32" s="3" t="s">
        <v>38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</v>
      </c>
      <c r="U32" s="3"/>
      <c r="V32" s="3"/>
      <c r="W32" s="3"/>
      <c r="X32" s="3">
        <v>1</v>
      </c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10</v>
      </c>
      <c r="D43" s="3">
        <v>6</v>
      </c>
      <c r="E43" s="3">
        <v>4</v>
      </c>
      <c r="F43" s="3" t="s">
        <v>38</v>
      </c>
      <c r="G43" s="3" t="s">
        <v>39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>
        <v>2</v>
      </c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12</v>
      </c>
      <c r="D49" s="3">
        <v>7</v>
      </c>
      <c r="E49" s="3">
        <v>5</v>
      </c>
      <c r="F49" s="3" t="s">
        <v>38</v>
      </c>
      <c r="G49" s="3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/>
      <c r="W49" s="3"/>
      <c r="X49" s="3"/>
      <c r="Y49" s="3"/>
      <c r="Z49" s="3"/>
      <c r="AA49" s="3"/>
      <c r="AB49" s="3">
        <v>2</v>
      </c>
    </row>
    <row r="50" spans="1:28" x14ac:dyDescent="0.3">
      <c r="A50" s="2">
        <v>46089</v>
      </c>
      <c r="B50" s="3" t="str">
        <f t="shared" si="1"/>
        <v>Sun</v>
      </c>
      <c r="C50" s="3">
        <v>4</v>
      </c>
      <c r="D50" s="3">
        <v>3</v>
      </c>
      <c r="E50" s="3">
        <v>1</v>
      </c>
      <c r="F50" s="3" t="s">
        <v>38</v>
      </c>
      <c r="G50" s="3" t="s">
        <v>38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29</v>
      </c>
      <c r="D55" s="3">
        <v>9</v>
      </c>
      <c r="E55" s="3">
        <v>20</v>
      </c>
      <c r="F55" s="3" t="s">
        <v>39</v>
      </c>
      <c r="G55" s="3" t="s">
        <v>39</v>
      </c>
      <c r="H55" s="3">
        <v>4</v>
      </c>
      <c r="I55" s="3"/>
      <c r="J55" s="3"/>
      <c r="K55" s="3">
        <v>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4</v>
      </c>
      <c r="D56" s="3">
        <v>2</v>
      </c>
      <c r="E56" s="3">
        <v>2</v>
      </c>
      <c r="F56" s="3" t="s">
        <v>39</v>
      </c>
      <c r="G56" s="3" t="s">
        <v>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24</v>
      </c>
      <c r="D58" s="3">
        <v>13</v>
      </c>
      <c r="E58" s="3">
        <v>11</v>
      </c>
      <c r="F58" s="3" t="s">
        <v>38</v>
      </c>
      <c r="G58" s="3" t="s">
        <v>38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</row>
    <row r="59" spans="1:28" x14ac:dyDescent="0.3">
      <c r="A59" s="2">
        <v>46098</v>
      </c>
      <c r="B59" s="3" t="str">
        <f t="shared" si="1"/>
        <v>Tue</v>
      </c>
      <c r="C59" s="3">
        <v>22</v>
      </c>
      <c r="D59" s="3">
        <v>11</v>
      </c>
      <c r="E59" s="3">
        <v>11</v>
      </c>
      <c r="F59" s="3" t="s">
        <v>38</v>
      </c>
      <c r="G59" s="3" t="s">
        <v>38</v>
      </c>
      <c r="H59" s="3">
        <v>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21</v>
      </c>
      <c r="D63" s="3">
        <v>10</v>
      </c>
      <c r="E63" s="3">
        <v>11</v>
      </c>
      <c r="F63" s="3" t="s">
        <v>39</v>
      </c>
      <c r="G63" s="3" t="s">
        <v>38</v>
      </c>
      <c r="H63" s="3"/>
      <c r="I63" s="3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>
        <v>1</v>
      </c>
      <c r="Y63" s="3"/>
      <c r="Z63" s="3"/>
      <c r="AA63" s="3">
        <v>1</v>
      </c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</v>
      </c>
      <c r="D69" s="3">
        <v>1</v>
      </c>
      <c r="E69" s="3"/>
      <c r="F69" s="3" t="s">
        <v>38</v>
      </c>
      <c r="G69" s="3" t="s">
        <v>38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4</v>
      </c>
      <c r="D70" s="3">
        <v>2</v>
      </c>
      <c r="E70" s="3">
        <v>2</v>
      </c>
      <c r="F70" s="3" t="s">
        <v>38</v>
      </c>
      <c r="G70" s="3" t="s">
        <v>39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>
        <v>1</v>
      </c>
      <c r="T70" s="3">
        <v>1</v>
      </c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11</v>
      </c>
      <c r="D71" s="3">
        <v>7</v>
      </c>
      <c r="E71" s="3">
        <v>4</v>
      </c>
      <c r="F71" s="3" t="s">
        <v>38</v>
      </c>
      <c r="G71" s="3" t="s">
        <v>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8</v>
      </c>
      <c r="D73" s="3">
        <v>5</v>
      </c>
      <c r="E73" s="3">
        <v>3</v>
      </c>
      <c r="F73" s="3" t="s">
        <v>38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</v>
      </c>
      <c r="D83" s="3"/>
      <c r="E83" s="3">
        <v>1</v>
      </c>
      <c r="F83" s="3" t="s">
        <v>39</v>
      </c>
      <c r="G83" s="3" t="s">
        <v>39</v>
      </c>
      <c r="H83" s="3"/>
      <c r="I83" s="3"/>
      <c r="J83" s="3"/>
      <c r="K83" s="3"/>
      <c r="L83" s="3"/>
      <c r="M83" s="3"/>
      <c r="N83" s="3">
        <v>1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4</v>
      </c>
      <c r="D84" s="3">
        <v>1</v>
      </c>
      <c r="E84" s="3">
        <v>3</v>
      </c>
      <c r="F84" s="3" t="s">
        <v>39</v>
      </c>
      <c r="G84" s="3" t="s">
        <v>39</v>
      </c>
      <c r="H84" s="3"/>
      <c r="I84" s="3">
        <v>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</v>
      </c>
      <c r="D90" s="3">
        <v>1</v>
      </c>
      <c r="E90" s="3">
        <v>2</v>
      </c>
      <c r="F90" s="3" t="s">
        <v>38</v>
      </c>
      <c r="G90" s="3" t="s">
        <v>39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>
        <v>1</v>
      </c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7</v>
      </c>
      <c r="D102" s="3">
        <v>3</v>
      </c>
      <c r="E102" s="3">
        <v>4</v>
      </c>
      <c r="F102" s="3" t="s">
        <v>39</v>
      </c>
      <c r="G102" s="3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12</v>
      </c>
      <c r="D103" s="3">
        <v>6</v>
      </c>
      <c r="E103" s="3">
        <v>6</v>
      </c>
      <c r="F103" s="3" t="s">
        <v>38</v>
      </c>
      <c r="G103" s="3" t="s">
        <v>39</v>
      </c>
      <c r="H103" s="3"/>
      <c r="I103" s="3"/>
      <c r="J103" s="3">
        <v>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16</v>
      </c>
      <c r="D104" s="3">
        <v>8</v>
      </c>
      <c r="E104" s="3">
        <v>8</v>
      </c>
      <c r="F104" s="3" t="s">
        <v>38</v>
      </c>
      <c r="G104" s="3" t="s">
        <v>38</v>
      </c>
      <c r="H104" s="3"/>
      <c r="I104" s="3"/>
      <c r="J104" s="3">
        <v>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5</v>
      </c>
      <c r="D108" s="3">
        <v>3</v>
      </c>
      <c r="E108" s="3">
        <v>2</v>
      </c>
      <c r="F108" s="3" t="s">
        <v>38</v>
      </c>
      <c r="G108" s="3" t="s">
        <v>39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2</v>
      </c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48</v>
      </c>
      <c r="D109" s="3">
        <v>25</v>
      </c>
      <c r="E109" s="3">
        <v>23</v>
      </c>
      <c r="F109" s="3" t="s">
        <v>39</v>
      </c>
      <c r="G109" s="3" t="s">
        <v>38</v>
      </c>
      <c r="H109" s="3">
        <v>3</v>
      </c>
      <c r="I109" s="3">
        <v>1</v>
      </c>
      <c r="J109" s="3"/>
      <c r="K109" s="3"/>
      <c r="L109" s="3">
        <v>1</v>
      </c>
      <c r="M109" s="3"/>
      <c r="N109" s="3"/>
      <c r="O109" s="3"/>
      <c r="P109" s="3"/>
      <c r="Q109" s="3"/>
      <c r="R109" s="3"/>
      <c r="S109" s="3"/>
      <c r="T109" s="3">
        <v>2</v>
      </c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66</v>
      </c>
      <c r="D110" s="3">
        <v>32</v>
      </c>
      <c r="E110" s="3">
        <v>34</v>
      </c>
      <c r="F110" s="3" t="s">
        <v>38</v>
      </c>
      <c r="G110" s="3" t="s">
        <v>38</v>
      </c>
      <c r="H110" s="3">
        <v>1</v>
      </c>
      <c r="I110" s="3">
        <v>1</v>
      </c>
      <c r="J110" s="3">
        <v>1</v>
      </c>
      <c r="K110" s="3"/>
      <c r="L110" s="3"/>
      <c r="M110" s="3"/>
      <c r="N110" s="3"/>
      <c r="O110" s="3"/>
      <c r="P110" s="3"/>
      <c r="Q110" s="3"/>
      <c r="R110" s="3">
        <v>1</v>
      </c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11</v>
      </c>
      <c r="D111" s="3">
        <v>4</v>
      </c>
      <c r="E111" s="3">
        <v>7</v>
      </c>
      <c r="F111" s="3" t="s">
        <v>38</v>
      </c>
      <c r="G111" s="3" t="s">
        <v>39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34</v>
      </c>
      <c r="C3" s="5"/>
    </row>
    <row r="4" spans="1:3" x14ac:dyDescent="0.3">
      <c r="A4" s="5" t="s">
        <v>31</v>
      </c>
      <c r="B4" s="5">
        <f>COUNTIF('WhatsApp Data'!F2:F111,"Me")</f>
        <v>24</v>
      </c>
      <c r="C4" s="5"/>
    </row>
    <row r="5" spans="1:3" x14ac:dyDescent="0.3">
      <c r="A5" s="5" t="s">
        <v>32</v>
      </c>
      <c r="B5" s="5">
        <f>COUNTIF('WhatsApp Data'!F2:F111,"You")</f>
        <v>10</v>
      </c>
      <c r="C5" s="5"/>
    </row>
    <row r="6" spans="1:3" x14ac:dyDescent="0.3">
      <c r="A6" s="5" t="s">
        <v>33</v>
      </c>
      <c r="B6" s="5">
        <f>COUNTIF('WhatsApp Data'!G2:G111,"Me")</f>
        <v>19</v>
      </c>
      <c r="C6" s="5"/>
    </row>
    <row r="7" spans="1:3" x14ac:dyDescent="0.3">
      <c r="A7" s="5" t="s">
        <v>34</v>
      </c>
      <c r="B7" s="5">
        <f>COUNTIF('WhatsApp Data'!G2:G111,"You")</f>
        <v>15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414</v>
      </c>
      <c r="C10" s="6">
        <f t="shared" ref="C10:C33" si="0">IFERROR(B10/$B$2,0)</f>
        <v>3.7636363636363637</v>
      </c>
    </row>
    <row r="11" spans="1:3" x14ac:dyDescent="0.3">
      <c r="A11" s="5" t="s">
        <v>3</v>
      </c>
      <c r="B11" s="5">
        <f>SUM('WhatsApp Data'!D2:D111)</f>
        <v>215</v>
      </c>
      <c r="C11" s="6">
        <f t="shared" si="0"/>
        <v>1.9545454545454546</v>
      </c>
    </row>
    <row r="12" spans="1:3" x14ac:dyDescent="0.3">
      <c r="A12" s="5" t="s">
        <v>4</v>
      </c>
      <c r="B12" s="5">
        <f>SUM('WhatsApp Data'!E2:E111)</f>
        <v>199</v>
      </c>
      <c r="C12" s="6">
        <f t="shared" si="0"/>
        <v>1.8090909090909091</v>
      </c>
    </row>
    <row r="13" spans="1:3" x14ac:dyDescent="0.3">
      <c r="A13" s="5" t="s">
        <v>7</v>
      </c>
      <c r="B13" s="5">
        <f>SUM('WhatsApp Data'!H2:H111)</f>
        <v>10</v>
      </c>
      <c r="C13" s="6">
        <f t="shared" si="0"/>
        <v>9.0909090909090912E-2</v>
      </c>
    </row>
    <row r="14" spans="1:3" x14ac:dyDescent="0.3">
      <c r="A14" s="5" t="s">
        <v>8</v>
      </c>
      <c r="B14" s="5">
        <f>SUM('WhatsApp Data'!I2:I111)</f>
        <v>6</v>
      </c>
      <c r="C14" s="6">
        <f t="shared" si="0"/>
        <v>5.4545454545454543E-2</v>
      </c>
    </row>
    <row r="15" spans="1:3" x14ac:dyDescent="0.3">
      <c r="A15" s="5" t="s">
        <v>9</v>
      </c>
      <c r="B15" s="5">
        <f>SUM('WhatsApp Data'!J2:J111)</f>
        <v>7</v>
      </c>
      <c r="C15" s="6">
        <f t="shared" si="0"/>
        <v>6.363636363636363E-2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2</v>
      </c>
      <c r="C23" s="6">
        <f t="shared" si="0"/>
        <v>1.8181818181818181E-2</v>
      </c>
    </row>
    <row r="24" spans="1:3" x14ac:dyDescent="0.3">
      <c r="A24" s="5" t="s">
        <v>18</v>
      </c>
      <c r="B24" s="5">
        <f>SUM('WhatsApp Data'!S2:S111)</f>
        <v>16</v>
      </c>
      <c r="C24" s="6">
        <f t="shared" si="0"/>
        <v>0.14545454545454545</v>
      </c>
    </row>
    <row r="25" spans="1:3" x14ac:dyDescent="0.3">
      <c r="A25" s="5" t="s">
        <v>19</v>
      </c>
      <c r="B25" s="5">
        <f>SUM('WhatsApp Data'!T2:T111)</f>
        <v>8</v>
      </c>
      <c r="C25" s="6">
        <f t="shared" si="0"/>
        <v>7.2727272727272724E-2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3</v>
      </c>
      <c r="C29" s="6">
        <f t="shared" si="0"/>
        <v>2.7272727272727271E-2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11</v>
      </c>
      <c r="C32" s="6">
        <f t="shared" si="0"/>
        <v>0.1</v>
      </c>
    </row>
    <row r="33" spans="1:3" x14ac:dyDescent="0.3">
      <c r="A33" s="5" t="s">
        <v>27</v>
      </c>
      <c r="B33" s="5">
        <f>SUM('WhatsApp Data'!AB2:AB111)</f>
        <v>7</v>
      </c>
      <c r="C33" s="6">
        <f t="shared" si="0"/>
        <v>6.363636363636363E-2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2026-10-03T14:36:08Z</dcterms:modified>
  <dc:language>en-US</dc:language>
</cp:coreProperties>
</file>