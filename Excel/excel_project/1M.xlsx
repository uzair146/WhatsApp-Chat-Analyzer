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30FBA304-C992-49AE-BEB5-DD7B01307175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<sst xmlns="http://schemas.openxmlformats.org/spreadsheetml/2006/main" count="94" uniqueCount="40">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</sst>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="60" zoomScaleNormal="109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O51" sqref="O5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>
        <v>2</v>
      </c>
      <c r="D2" s="3">
        <v>1</v>
      </c>
      <c r="E2" s="3">
        <v>1</v>
      </c>
      <c r="F2" s="3" t="s">
        <v>38</v>
      </c>
      <c r="G2" s="3" t="s">
        <v>39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4</v>
      </c>
      <c r="D7" s="3">
        <v>2</v>
      </c>
      <c r="E7" s="3">
        <v>2</v>
      </c>
      <c r="F7" s="3" t="s">
        <v>38</v>
      </c>
      <c r="G7" s="3" t="s">
        <v>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>
        <v>5</v>
      </c>
      <c r="D9" s="3">
        <v>4</v>
      </c>
      <c r="E9" s="3">
        <v>1</v>
      </c>
      <c r="F9" s="3" t="s">
        <v>38</v>
      </c>
      <c r="G9" s="3" t="s">
        <v>39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>
        <v>40</v>
      </c>
      <c r="D25" s="3">
        <v>21</v>
      </c>
      <c r="E25" s="3">
        <v>19</v>
      </c>
      <c r="F25" s="3" t="s">
        <v>38</v>
      </c>
      <c r="G25" s="3" t="s">
        <v>39</v>
      </c>
      <c r="H25" s="3"/>
      <c r="I25" s="3"/>
      <c r="J25" s="3">
        <v>20</v>
      </c>
      <c r="K25" s="3">
        <v>14</v>
      </c>
      <c r="L25" s="3"/>
      <c r="M25" s="3"/>
      <c r="N25" s="3"/>
      <c r="O25" s="3"/>
      <c r="P25" s="3"/>
      <c r="Q25" s="3">
        <v>2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>
        <v>10</v>
      </c>
      <c r="D38" s="3">
        <v>5</v>
      </c>
      <c r="E38" s="3">
        <v>5</v>
      </c>
      <c r="F38" s="3" t="s">
        <v>39</v>
      </c>
      <c r="G38" s="3" t="s">
        <v>39</v>
      </c>
      <c r="H38" s="3"/>
      <c r="I38" s="3"/>
      <c r="J38" s="3"/>
      <c r="K38" s="3"/>
      <c r="L38" s="3">
        <v>1</v>
      </c>
      <c r="M38" s="3">
        <v>1</v>
      </c>
      <c r="N38" s="3"/>
      <c r="O38" s="3"/>
      <c r="P38" s="3">
        <v>0.85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>
        <v>2</v>
      </c>
      <c r="D62" s="3">
        <v>1</v>
      </c>
      <c r="E62" s="3">
        <v>1</v>
      </c>
      <c r="F62" s="3" t="s">
        <v>39</v>
      </c>
      <c r="G62" s="3" t="s">
        <v>38</v>
      </c>
      <c r="H62" s="3"/>
      <c r="I62" s="3"/>
      <c r="J62" s="3"/>
      <c r="K62" s="3">
        <v>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12</v>
      </c>
      <c r="D63" s="3">
        <v>8</v>
      </c>
      <c r="E63" s="3">
        <v>4</v>
      </c>
      <c r="F63" s="3" t="s">
        <v>39</v>
      </c>
      <c r="G63" s="3" t="s">
        <v>39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>
        <v>7</v>
      </c>
      <c r="D64" s="3">
        <v>4</v>
      </c>
      <c r="E64" s="3">
        <v>3</v>
      </c>
      <c r="F64" s="3" t="s">
        <v>39</v>
      </c>
      <c r="G64" s="3" t="s">
        <v>39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>
        <v>43</v>
      </c>
      <c r="D65" s="3">
        <v>43</v>
      </c>
      <c r="E65" s="3"/>
      <c r="F65" s="3" t="s">
        <v>39</v>
      </c>
      <c r="G65" s="3" t="s">
        <v>39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42</v>
      </c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>
        <v>1</v>
      </c>
      <c r="D67" s="3">
        <v>1</v>
      </c>
      <c r="E67" s="3"/>
      <c r="F67" s="3" t="s">
        <v>39</v>
      </c>
      <c r="G67" s="3" t="s">
        <v>39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>
        <v>1</v>
      </c>
      <c r="D69" s="3">
        <v>1</v>
      </c>
      <c r="E69" s="3"/>
      <c r="F69" s="3" t="s">
        <v>39</v>
      </c>
      <c r="G69" s="3" t="s">
        <v>39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>
        <v>13</v>
      </c>
      <c r="D70" s="3">
        <v>8</v>
      </c>
      <c r="E70" s="3">
        <v>5</v>
      </c>
      <c r="F70" s="3" t="s">
        <v>39</v>
      </c>
      <c r="G70" s="3" t="s">
        <v>39</v>
      </c>
      <c r="H70" s="3"/>
      <c r="I70" s="3"/>
      <c r="J70" s="3">
        <v>5</v>
      </c>
      <c r="K70" s="3">
        <v>4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</row>
    <row r="71" spans="1:28" x14ac:dyDescent="0.3">
      <c r="A71" s="2">
        <v>46110</v>
      </c>
      <c r="B71" s="3" t="str">
        <f t="shared" si="2"/>
        <v>Sun</v>
      </c>
      <c r="C71" s="3">
        <v>3</v>
      </c>
      <c r="D71" s="3">
        <v>2</v>
      </c>
      <c r="E71" s="3">
        <v>1</v>
      </c>
      <c r="F71" s="3" t="s">
        <v>38</v>
      </c>
      <c r="G71" s="3" t="s">
        <v>39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>
        <v>25</v>
      </c>
      <c r="D76" s="3">
        <v>13</v>
      </c>
      <c r="E76" s="3">
        <v>12</v>
      </c>
      <c r="F76" s="3" t="s">
        <v>38</v>
      </c>
      <c r="G76" s="3" t="s">
        <v>39</v>
      </c>
      <c r="H76" s="3"/>
      <c r="I76" s="3"/>
      <c r="J76" s="3">
        <v>2</v>
      </c>
      <c r="K76" s="3">
        <v>3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>
        <v>1</v>
      </c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>
        <v>4</v>
      </c>
      <c r="D82" s="3">
        <v>2</v>
      </c>
      <c r="E82" s="3">
        <v>2</v>
      </c>
      <c r="F82" s="3" t="s">
        <v>38</v>
      </c>
      <c r="G82" s="3" t="s">
        <v>39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11</v>
      </c>
      <c r="D93" s="3">
        <v>9</v>
      </c>
      <c r="E93" s="3">
        <v>2</v>
      </c>
      <c r="F93" s="3" t="s">
        <v>39</v>
      </c>
      <c r="G93" s="3" t="s">
        <v>39</v>
      </c>
      <c r="H93" s="3"/>
      <c r="I93" s="3"/>
      <c r="J93" s="3">
        <v>1</v>
      </c>
      <c r="K93" s="3">
        <v>2</v>
      </c>
      <c r="L93" s="3"/>
      <c r="M93" s="3"/>
      <c r="N93" s="3"/>
      <c r="O93" s="3"/>
      <c r="P93" s="3"/>
      <c r="Q93" s="3">
        <v>1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>
      <selection activeCell="H25" sqref="H25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16</v>
      </c>
      <c r="C3" s="5"/>
    </row>
    <row r="4" spans="1:3" x14ac:dyDescent="0.3">
      <c r="A4" s="5" t="s">
        <v>31</v>
      </c>
      <c r="B4" s="5">
        <f>COUNTIF('WhatsApp Data'!F2:F111,"Me")</f>
        <v>9</v>
      </c>
      <c r="C4" s="5"/>
    </row>
    <row r="5" spans="1:3" x14ac:dyDescent="0.3">
      <c r="A5" s="5" t="s">
        <v>32</v>
      </c>
      <c r="B5" s="5">
        <f>COUNTIF('WhatsApp Data'!F2:F111,"You")</f>
        <v>7</v>
      </c>
      <c r="C5" s="5"/>
    </row>
    <row r="6" spans="1:3" x14ac:dyDescent="0.3">
      <c r="A6" s="5" t="s">
        <v>33</v>
      </c>
      <c r="B6" s="5">
        <f>COUNTIF('WhatsApp Data'!G2:G111,"Me")</f>
        <v>15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183</v>
      </c>
      <c r="C10" s="6">
        <f t="shared" ref="C10:C33" si="0">IFERROR(B10/$B$2,0)</f>
        <v>1.6636363636363636</v>
      </c>
    </row>
    <row r="11" spans="1:3" x14ac:dyDescent="0.3">
      <c r="A11" s="5" t="s">
        <v>3</v>
      </c>
      <c r="B11" s="5">
        <f>SUM('WhatsApp Data'!D2:D111)</f>
        <v>125</v>
      </c>
      <c r="C11" s="6">
        <f t="shared" si="0"/>
        <v>1.1363636363636365</v>
      </c>
    </row>
    <row r="12" spans="1:3" x14ac:dyDescent="0.3">
      <c r="A12" s="5" t="s">
        <v>4</v>
      </c>
      <c r="B12" s="5">
        <f>SUM('WhatsApp Data'!E2:E111)</f>
        <v>58</v>
      </c>
      <c r="C12" s="6">
        <f t="shared" si="0"/>
        <v>0.52727272727272723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28</v>
      </c>
      <c r="C15" s="6">
        <f t="shared" si="0"/>
        <v>0.25454545454545452</v>
      </c>
    </row>
    <row r="16" spans="1:3" x14ac:dyDescent="0.3">
      <c r="A16" s="5" t="s">
        <v>10</v>
      </c>
      <c r="B16" s="5">
        <f>SUM('WhatsApp Data'!K2:K111)</f>
        <v>24</v>
      </c>
      <c r="C16" s="6">
        <f t="shared" si="0"/>
        <v>0.21818181818181817</v>
      </c>
    </row>
    <row r="17" spans="1:3" x14ac:dyDescent="0.3">
      <c r="A17" s="5" t="s">
        <v>11</v>
      </c>
      <c r="B17" s="5">
        <f>SUM('WhatsApp Data'!L2:L111)</f>
        <v>1</v>
      </c>
      <c r="C17" s="6">
        <f t="shared" si="0"/>
        <v>9.0909090909090905E-3</v>
      </c>
    </row>
    <row r="18" spans="1:3" x14ac:dyDescent="0.3">
      <c r="A18" s="5" t="s">
        <v>12</v>
      </c>
      <c r="B18" s="5">
        <f>SUM('WhatsApp Data'!M2:M111)</f>
        <v>1</v>
      </c>
      <c r="C18" s="6">
        <f t="shared" si="0"/>
        <v>9.0909090909090905E-3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0.85</v>
      </c>
      <c r="C21" s="6">
        <f t="shared" si="0"/>
        <v>7.7272727272727267E-3</v>
      </c>
    </row>
    <row r="22" spans="1:3" x14ac:dyDescent="0.3">
      <c r="A22" s="5" t="s">
        <v>16</v>
      </c>
      <c r="B22" s="5">
        <f>SUM('WhatsApp Data'!Q2:Q111)</f>
        <v>3</v>
      </c>
      <c r="C22" s="6">
        <f t="shared" si="0"/>
        <v>2.7272727272727271E-2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1</v>
      </c>
      <c r="C29" s="6">
        <f t="shared" si="0"/>
        <v>9.0909090909090905E-3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42</v>
      </c>
      <c r="C32" s="6">
        <f t="shared" si="0"/>
        <v>0.38181818181818183</v>
      </c>
    </row>
    <row r="33" spans="1:3" x14ac:dyDescent="0.3">
      <c r="A33" s="5" t="s">
        <v>27</v>
      </c>
      <c r="B33" s="5">
        <f>SUM('WhatsApp Data'!AB2:AB111)</f>
        <v>1</v>
      </c>
      <c r="C33" s="6">
        <f t="shared" si="0"/>
        <v>9.0909090909090905E-3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2026-10-02T12:44:39Z</dcterms:modified>
  <dc:language>en-US</dc:language>
</cp:coreProperties>
</file>