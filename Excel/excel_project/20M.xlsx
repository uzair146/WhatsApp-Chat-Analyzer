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EDD9842E-DD33-40D9-9541-BF401532B2FE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<sst xmlns="http://schemas.openxmlformats.org/spreadsheetml/2006/main" count="120" uniqueCount="40">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</sst>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I64" activePane="bottomRight" state="frozen"/>
      <selection pane="topRight" activeCell="C1" sqref="C1"/>
      <selection pane="bottomLeft" activeCell="A2" sqref="A2"/>
      <selection pane="bottomRight" activeCell="T93" sqref="T93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>
        <v>3</v>
      </c>
      <c r="D5" s="3">
        <v>2</v>
      </c>
      <c r="E5" s="3">
        <v>1</v>
      </c>
      <c r="F5" s="3" t="s">
        <v>38</v>
      </c>
      <c r="G5" s="3" t="s">
        <v>38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</v>
      </c>
      <c r="D7" s="3">
        <v>1</v>
      </c>
      <c r="E7" s="3"/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16</v>
      </c>
      <c r="D8" s="3">
        <v>8</v>
      </c>
      <c r="E8" s="3">
        <v>8</v>
      </c>
      <c r="F8" s="3" t="s">
        <v>38</v>
      </c>
      <c r="G8" s="3" t="s">
        <v>39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2</v>
      </c>
      <c r="T8" s="3"/>
      <c r="U8" s="3"/>
      <c r="V8" s="3"/>
      <c r="W8" s="3"/>
      <c r="X8" s="3"/>
      <c r="Y8" s="3"/>
      <c r="Z8" s="3"/>
      <c r="AA8" s="3">
        <v>1</v>
      </c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>
        <v>13</v>
      </c>
      <c r="D11" s="3">
        <v>6</v>
      </c>
      <c r="E11" s="3">
        <v>7</v>
      </c>
      <c r="F11" s="3" t="s">
        <v>39</v>
      </c>
      <c r="G11" s="3" t="s">
        <v>38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>
        <v>6</v>
      </c>
      <c r="D12" s="3">
        <v>4</v>
      </c>
      <c r="E12" s="3">
        <v>2</v>
      </c>
      <c r="F12" s="3" t="s">
        <v>38</v>
      </c>
      <c r="G12" s="3" t="s">
        <v>38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>
        <v>10</v>
      </c>
      <c r="D15" s="3">
        <v>6</v>
      </c>
      <c r="E15" s="3">
        <v>4</v>
      </c>
      <c r="F15" s="3" t="s">
        <v>38</v>
      </c>
      <c r="G15" s="3" t="s">
        <v>38</v>
      </c>
      <c r="H15" s="3"/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>
        <v>8</v>
      </c>
      <c r="D19" s="3">
        <v>8</v>
      </c>
      <c r="E19" s="3"/>
      <c r="F19" s="3" t="s">
        <v>38</v>
      </c>
      <c r="G19" s="3" t="s">
        <v>38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>
        <v>3</v>
      </c>
      <c r="D20" s="3">
        <v>1</v>
      </c>
      <c r="E20" s="3">
        <v>2</v>
      </c>
      <c r="F20" s="3" t="s">
        <v>39</v>
      </c>
      <c r="G20" s="3" t="s">
        <v>38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8</v>
      </c>
      <c r="D23" s="3">
        <v>7</v>
      </c>
      <c r="E23" s="3">
        <v>1</v>
      </c>
      <c r="F23" s="3" t="s">
        <v>38</v>
      </c>
      <c r="G23" s="3" t="s">
        <v>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2</v>
      </c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>
        <v>9</v>
      </c>
      <c r="D26" s="3">
        <v>5</v>
      </c>
      <c r="E26" s="3">
        <v>4</v>
      </c>
      <c r="F26" s="3" t="s">
        <v>39</v>
      </c>
      <c r="G26" s="3" t="s">
        <v>38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>
        <v>2</v>
      </c>
      <c r="D31" s="3">
        <v>1</v>
      </c>
      <c r="E31" s="3">
        <v>1</v>
      </c>
      <c r="F31" s="3" t="s">
        <v>39</v>
      </c>
      <c r="G31" s="3" t="s">
        <v>38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>
        <v>34</v>
      </c>
      <c r="D33" s="3">
        <v>14</v>
      </c>
      <c r="E33" s="3">
        <v>20</v>
      </c>
      <c r="F33" s="3" t="s">
        <v>39</v>
      </c>
      <c r="G33" s="3" t="s">
        <v>38</v>
      </c>
      <c r="H33" s="3">
        <v>2</v>
      </c>
      <c r="I33" s="3"/>
      <c r="J33" s="3"/>
      <c r="K33" s="3"/>
      <c r="L33" s="3"/>
      <c r="M33" s="3"/>
      <c r="N33" s="3">
        <v>1</v>
      </c>
      <c r="O33" s="3"/>
      <c r="P33" s="3"/>
      <c r="Q33" s="3"/>
      <c r="R33" s="3"/>
      <c r="S33" s="3"/>
      <c r="T33" s="3">
        <v>1</v>
      </c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>
        <v>11</v>
      </c>
      <c r="D40" s="3">
        <v>7</v>
      </c>
      <c r="E40" s="3">
        <v>4</v>
      </c>
      <c r="F40" s="3" t="s">
        <v>39</v>
      </c>
      <c r="G40" s="3" t="s">
        <v>38</v>
      </c>
      <c r="H40" s="3">
        <v>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10</v>
      </c>
      <c r="D49" s="3">
        <v>2</v>
      </c>
      <c r="E49" s="3">
        <v>8</v>
      </c>
      <c r="F49" s="3" t="s">
        <v>38</v>
      </c>
      <c r="G49" s="3" t="s">
        <v>39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>
        <v>1</v>
      </c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>
        <v>7</v>
      </c>
      <c r="D53" s="3">
        <v>4</v>
      </c>
      <c r="E53" s="3">
        <v>3</v>
      </c>
      <c r="F53" s="3" t="s">
        <v>39</v>
      </c>
      <c r="G53" s="3" t="s">
        <v>38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>
        <v>4</v>
      </c>
      <c r="D57" s="3">
        <v>2</v>
      </c>
      <c r="E57" s="3">
        <v>2</v>
      </c>
      <c r="F57" s="3" t="s">
        <v>39</v>
      </c>
      <c r="G57" s="3" t="s">
        <v>38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>
        <v>7</v>
      </c>
      <c r="D58" s="3">
        <v>4</v>
      </c>
      <c r="E58" s="3">
        <v>3</v>
      </c>
      <c r="F58" s="3" t="s">
        <v>38</v>
      </c>
      <c r="G58" s="3" t="s">
        <v>38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1</v>
      </c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>
        <v>2</v>
      </c>
      <c r="D60" s="3"/>
      <c r="E60" s="3">
        <v>2</v>
      </c>
      <c r="F60" s="3" t="s">
        <v>39</v>
      </c>
      <c r="G60" s="3" t="s">
        <v>39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>
        <v>2</v>
      </c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>
        <v>3</v>
      </c>
      <c r="D70" s="3">
        <v>2</v>
      </c>
      <c r="E70" s="3">
        <v>1</v>
      </c>
      <c r="F70" s="3" t="s">
        <v>38</v>
      </c>
      <c r="G70" s="3" t="s">
        <v>38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>
        <v>8</v>
      </c>
      <c r="D73" s="3">
        <v>3</v>
      </c>
      <c r="E73" s="3">
        <v>4</v>
      </c>
      <c r="F73" s="3" t="s">
        <v>39</v>
      </c>
      <c r="G73" s="3" t="s">
        <v>39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>
        <v>9</v>
      </c>
      <c r="D76" s="3">
        <v>6</v>
      </c>
      <c r="E76" s="3">
        <v>3</v>
      </c>
      <c r="F76" s="3" t="s">
        <v>39</v>
      </c>
      <c r="G76" s="3" t="s">
        <v>38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>
        <v>1</v>
      </c>
      <c r="D77" s="3"/>
      <c r="E77" s="3">
        <v>1</v>
      </c>
      <c r="F77" s="3" t="s">
        <v>39</v>
      </c>
      <c r="G77" s="3" t="s">
        <v>39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>
        <v>6</v>
      </c>
      <c r="D78" s="3">
        <v>5</v>
      </c>
      <c r="E78" s="3">
        <v>1</v>
      </c>
      <c r="F78" s="3" t="s">
        <v>38</v>
      </c>
      <c r="G78" s="3" t="s">
        <v>38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>
        <v>7</v>
      </c>
      <c r="D81" s="3">
        <v>1</v>
      </c>
      <c r="E81" s="3">
        <v>6</v>
      </c>
      <c r="F81" s="3" t="s">
        <v>39</v>
      </c>
      <c r="G81" s="3" t="s">
        <v>38</v>
      </c>
      <c r="H81" s="3"/>
      <c r="I81" s="3"/>
      <c r="J81" s="3"/>
      <c r="K81" s="3"/>
      <c r="L81" s="3"/>
      <c r="M81" s="3"/>
      <c r="N81" s="3">
        <v>1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>
        <v>28</v>
      </c>
      <c r="D84" s="3">
        <v>13</v>
      </c>
      <c r="E84" s="3">
        <v>15</v>
      </c>
      <c r="F84" s="3" t="s">
        <v>39</v>
      </c>
      <c r="G84" s="3" t="s">
        <v>38</v>
      </c>
      <c r="H84" s="3">
        <v>2</v>
      </c>
      <c r="I84" s="3"/>
      <c r="J84" s="3">
        <v>2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1</v>
      </c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>
        <v>8</v>
      </c>
      <c r="D87" s="3">
        <v>6</v>
      </c>
      <c r="E87" s="3">
        <v>2</v>
      </c>
      <c r="F87" s="3" t="s">
        <v>39</v>
      </c>
      <c r="G87" s="3" t="s">
        <v>38</v>
      </c>
      <c r="H87" s="3">
        <v>1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3</v>
      </c>
      <c r="D90" s="3">
        <v>2</v>
      </c>
      <c r="E90" s="3">
        <v>1</v>
      </c>
      <c r="F90" s="3" t="s">
        <v>38</v>
      </c>
      <c r="G90" s="3" t="s">
        <v>38</v>
      </c>
      <c r="H90" s="3"/>
      <c r="I90" s="3"/>
      <c r="J90" s="3">
        <v>1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2</v>
      </c>
      <c r="D92" s="3">
        <v>1</v>
      </c>
      <c r="E92" s="3">
        <v>1</v>
      </c>
      <c r="F92" s="3" t="s">
        <v>38</v>
      </c>
      <c r="G92" s="3" t="s">
        <v>39</v>
      </c>
      <c r="H92" s="3"/>
      <c r="I92" s="3"/>
      <c r="J92" s="3">
        <v>1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10</v>
      </c>
      <c r="D93" s="3">
        <v>6</v>
      </c>
      <c r="E93" s="3">
        <v>4</v>
      </c>
      <c r="F93" s="3" t="s">
        <v>39</v>
      </c>
      <c r="G93" s="3" t="s">
        <v>38</v>
      </c>
      <c r="H93" s="3">
        <v>1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>
        <v>1</v>
      </c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29</v>
      </c>
      <c r="C3" s="5"/>
    </row>
    <row r="4" spans="1:3" x14ac:dyDescent="0.3">
      <c r="A4" s="5" t="s">
        <v>31</v>
      </c>
      <c r="B4" s="5">
        <f>COUNTIF('WhatsApp Data'!F2:F111,"Me")</f>
        <v>13</v>
      </c>
      <c r="C4" s="5"/>
    </row>
    <row r="5" spans="1:3" x14ac:dyDescent="0.3">
      <c r="A5" s="5" t="s">
        <v>32</v>
      </c>
      <c r="B5" s="5">
        <f>COUNTIF('WhatsApp Data'!F2:F111,"You")</f>
        <v>16</v>
      </c>
      <c r="C5" s="5"/>
    </row>
    <row r="6" spans="1:3" x14ac:dyDescent="0.3">
      <c r="A6" s="5" t="s">
        <v>33</v>
      </c>
      <c r="B6" s="5">
        <f>COUNTIF('WhatsApp Data'!G2:G111,"Me")</f>
        <v>23</v>
      </c>
      <c r="C6" s="5"/>
    </row>
    <row r="7" spans="1:3" x14ac:dyDescent="0.3">
      <c r="A7" s="5" t="s">
        <v>34</v>
      </c>
      <c r="B7" s="5">
        <f>COUNTIF('WhatsApp Data'!G2:G111,"You")</f>
        <v>6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239</v>
      </c>
      <c r="C10" s="6">
        <f t="shared" ref="C10:C33" si="0">IFERROR(B10/$B$2,0)</f>
        <v>2.1727272727272728</v>
      </c>
    </row>
    <row r="11" spans="1:3" x14ac:dyDescent="0.3">
      <c r="A11" s="5" t="s">
        <v>3</v>
      </c>
      <c r="B11" s="5">
        <f>SUM('WhatsApp Data'!D2:D111)</f>
        <v>127</v>
      </c>
      <c r="C11" s="6">
        <f t="shared" si="0"/>
        <v>1.1545454545454545</v>
      </c>
    </row>
    <row r="12" spans="1:3" x14ac:dyDescent="0.3">
      <c r="A12" s="5" t="s">
        <v>4</v>
      </c>
      <c r="B12" s="5">
        <f>SUM('WhatsApp Data'!E2:E111)</f>
        <v>111</v>
      </c>
      <c r="C12" s="6">
        <f t="shared" si="0"/>
        <v>1.009090909090909</v>
      </c>
    </row>
    <row r="13" spans="1:3" x14ac:dyDescent="0.3">
      <c r="A13" s="5" t="s">
        <v>7</v>
      </c>
      <c r="B13" s="5">
        <f>SUM('WhatsApp Data'!H2:H111)</f>
        <v>8</v>
      </c>
      <c r="C13" s="6">
        <f t="shared" si="0"/>
        <v>7.2727272727272724E-2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5</v>
      </c>
      <c r="C15" s="6">
        <f t="shared" si="0"/>
        <v>4.5454545454545456E-2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2</v>
      </c>
      <c r="C19" s="6">
        <f t="shared" si="0"/>
        <v>1.8181818181818181E-2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2</v>
      </c>
      <c r="C23" s="6">
        <f t="shared" si="0"/>
        <v>1.8181818181818181E-2</v>
      </c>
    </row>
    <row r="24" spans="1:3" x14ac:dyDescent="0.3">
      <c r="A24" s="5" t="s">
        <v>18</v>
      </c>
      <c r="B24" s="5">
        <f>SUM('WhatsApp Data'!S2:S111)</f>
        <v>3</v>
      </c>
      <c r="C24" s="6">
        <f t="shared" si="0"/>
        <v>2.7272727272727271E-2</v>
      </c>
    </row>
    <row r="25" spans="1:3" x14ac:dyDescent="0.3">
      <c r="A25" s="5" t="s">
        <v>19</v>
      </c>
      <c r="B25" s="5">
        <f>SUM('WhatsApp Data'!T2:T111)</f>
        <v>3</v>
      </c>
      <c r="C25" s="6">
        <f t="shared" si="0"/>
        <v>2.7272727272727271E-2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4</v>
      </c>
      <c r="C32" s="6">
        <f t="shared" si="0"/>
        <v>3.6363636363636362E-2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2026-10-13T14:46:50Z</dcterms:modified>
  <dc:language>en-US</dc:language>
</cp:coreProperties>
</file>