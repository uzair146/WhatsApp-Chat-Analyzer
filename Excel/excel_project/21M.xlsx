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1E8EBA62-758E-4698-91BF-AC329ACD79BC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<sst xmlns="http://schemas.openxmlformats.org/spreadsheetml/2006/main" count="72" uniqueCount="40">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</sst>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A83" sqref="A8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27</v>
      </c>
      <c r="D5" s="3">
        <v>11</v>
      </c>
      <c r="E5" s="3">
        <v>16</v>
      </c>
      <c r="F5" s="3" t="s">
        <v>38</v>
      </c>
      <c r="G5" s="3" t="s">
        <v>39</v>
      </c>
      <c r="H5" s="3"/>
      <c r="I5" s="3">
        <v>7</v>
      </c>
      <c r="J5" s="3"/>
      <c r="K5" s="3"/>
      <c r="L5" s="3"/>
      <c r="M5" s="3"/>
      <c r="N5" s="3"/>
      <c r="O5" s="3"/>
      <c r="P5" s="3"/>
      <c r="Q5" s="3"/>
      <c r="R5" s="3"/>
      <c r="S5" s="3">
        <v>3</v>
      </c>
      <c r="T5" s="3"/>
      <c r="U5" s="3"/>
      <c r="V5" s="3"/>
      <c r="W5" s="3"/>
      <c r="X5" s="3"/>
      <c r="Y5" s="3"/>
      <c r="Z5" s="3">
        <v>1</v>
      </c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12</v>
      </c>
      <c r="D7" s="3">
        <v>4</v>
      </c>
      <c r="E7" s="3">
        <v>8</v>
      </c>
      <c r="F7" s="3" t="s">
        <v>38</v>
      </c>
      <c r="G7" s="3" t="s">
        <v>39</v>
      </c>
      <c r="H7" s="3"/>
      <c r="I7" s="3">
        <v>6</v>
      </c>
      <c r="J7" s="3"/>
      <c r="K7" s="3"/>
      <c r="L7" s="3"/>
      <c r="M7" s="3"/>
      <c r="N7" s="3"/>
      <c r="O7" s="3"/>
      <c r="P7" s="3"/>
      <c r="Q7" s="3"/>
      <c r="R7" s="3"/>
      <c r="S7" s="3"/>
      <c r="T7" s="3">
        <v>1</v>
      </c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7</v>
      </c>
      <c r="D17" s="3">
        <v>5</v>
      </c>
      <c r="E17" s="3">
        <v>2</v>
      </c>
      <c r="F17" s="3" t="s">
        <v>38</v>
      </c>
      <c r="G17" s="3" t="s">
        <v>38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4</v>
      </c>
      <c r="D23" s="3">
        <v>1</v>
      </c>
      <c r="E23" s="3">
        <v>3</v>
      </c>
      <c r="F23" s="3" t="s">
        <v>39</v>
      </c>
      <c r="G23" s="3" t="s">
        <v>39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5</v>
      </c>
      <c r="D83" s="3">
        <v>2</v>
      </c>
      <c r="E83" s="3">
        <v>3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1</v>
      </c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</v>
      </c>
      <c r="C3" s="5"/>
    </row>
    <row r="4" spans="1:3" x14ac:dyDescent="0.3">
      <c r="A4" s="5" t="s">
        <v>31</v>
      </c>
      <c r="B4" s="5">
        <f>COUNTIF('WhatsApp Data'!F2:F111,"Me")</f>
        <v>4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2</v>
      </c>
      <c r="C6" s="5"/>
    </row>
    <row r="7" spans="1:3" x14ac:dyDescent="0.3">
      <c r="A7" s="5" t="s">
        <v>34</v>
      </c>
      <c r="B7" s="5">
        <f>COUNTIF('WhatsApp Data'!G2:G111,"You")</f>
        <v>3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55</v>
      </c>
      <c r="C10" s="6">
        <f t="shared" ref="C10:C33" si="0">IFERROR(B10/$B$2,0)</f>
        <v>0.5</v>
      </c>
    </row>
    <row r="11" spans="1:3" x14ac:dyDescent="0.3">
      <c r="A11" s="5" t="s">
        <v>3</v>
      </c>
      <c r="B11" s="5">
        <f>SUM('WhatsApp Data'!D2:D111)</f>
        <v>23</v>
      </c>
      <c r="C11" s="6">
        <f t="shared" si="0"/>
        <v>0.20909090909090908</v>
      </c>
    </row>
    <row r="12" spans="1:3" x14ac:dyDescent="0.3">
      <c r="A12" s="5" t="s">
        <v>4</v>
      </c>
      <c r="B12" s="5">
        <f>SUM('WhatsApp Data'!E2:E111)</f>
        <v>32</v>
      </c>
      <c r="C12" s="6">
        <f t="shared" si="0"/>
        <v>0.29090909090909089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13</v>
      </c>
      <c r="C14" s="6">
        <f t="shared" si="0"/>
        <v>0.11818181818181818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2</v>
      </c>
      <c r="C25" s="6">
        <f t="shared" si="0"/>
        <v>1.8181818181818181E-2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1</v>
      </c>
      <c r="C31" s="6">
        <f t="shared" si="0"/>
        <v>9.0909090909090905E-3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2026-10-13T14:46:39Z</dcterms:modified>
  <dc:language>en-US</dc:language>
</cp:coreProperties>
</file>