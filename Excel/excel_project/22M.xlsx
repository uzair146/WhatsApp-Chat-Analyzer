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A6B91949-CA4D-4B4A-B821-81FE41183ECE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C13" i="2" l="1"/>
</calcChain>
</file>

<file path=xl/sharedStrings.xml><?xml version="1.0" encoding="utf-8"?>
<sst xmlns="http://schemas.openxmlformats.org/spreadsheetml/2006/main" count="94" uniqueCount="40">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</sst>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C82" activePane="bottomRight" state="frozen"/>
      <selection pane="topRight" activeCell="C1" sqref="C1"/>
      <selection pane="bottomLeft" activeCell="A2" sqref="A2"/>
      <selection pane="bottomRight" activeCell="E110" sqref="E110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>
        <v>22</v>
      </c>
      <c r="D6" s="3">
        <v>15</v>
      </c>
      <c r="E6" s="3">
        <v>7</v>
      </c>
      <c r="F6" s="3" t="s">
        <v>38</v>
      </c>
      <c r="G6" s="3" t="s">
        <v>38</v>
      </c>
      <c r="H6" s="3">
        <v>1</v>
      </c>
      <c r="I6" s="3"/>
      <c r="J6" s="3"/>
      <c r="K6" s="3"/>
      <c r="L6" s="3"/>
      <c r="M6" s="3"/>
      <c r="N6" s="3"/>
      <c r="O6" s="3"/>
      <c r="P6" s="3"/>
      <c r="Q6" s="3">
        <v>1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>
        <v>3</v>
      </c>
      <c r="D27" s="3">
        <v>1</v>
      </c>
      <c r="E27" s="3">
        <v>2</v>
      </c>
      <c r="F27" s="3" t="s">
        <v>38</v>
      </c>
      <c r="G27" s="3" t="s">
        <v>39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>
        <v>6</v>
      </c>
      <c r="D37" s="3">
        <v>3</v>
      </c>
      <c r="E37" s="3">
        <v>3</v>
      </c>
      <c r="F37" s="3" t="s">
        <v>38</v>
      </c>
      <c r="G37" s="3" t="s">
        <v>39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>
        <v>2</v>
      </c>
      <c r="D39" s="3">
        <v>1</v>
      </c>
      <c r="E39" s="3">
        <v>1</v>
      </c>
      <c r="F39" s="3" t="s">
        <v>39</v>
      </c>
      <c r="G39" s="3" t="s">
        <v>38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>
        <v>3</v>
      </c>
      <c r="D44" s="3">
        <v>1</v>
      </c>
      <c r="E44" s="3">
        <v>2</v>
      </c>
      <c r="F44" s="3" t="s">
        <v>38</v>
      </c>
      <c r="G44" s="3" t="s">
        <v>39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>
        <v>6</v>
      </c>
      <c r="D45" s="3">
        <v>3</v>
      </c>
      <c r="E45" s="3">
        <v>3</v>
      </c>
      <c r="F45" s="3" t="s">
        <v>38</v>
      </c>
      <c r="G45" s="3" t="s">
        <v>39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>
        <v>1</v>
      </c>
      <c r="D63" s="3">
        <v>1</v>
      </c>
      <c r="E63" s="3"/>
      <c r="F63" s="3" t="s">
        <v>38</v>
      </c>
      <c r="G63" s="3" t="s">
        <v>38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>
        <v>17</v>
      </c>
      <c r="D67" s="3">
        <v>5</v>
      </c>
      <c r="E67" s="3">
        <v>11</v>
      </c>
      <c r="F67" s="3" t="s">
        <v>39</v>
      </c>
      <c r="G67" s="3" t="s">
        <v>38</v>
      </c>
      <c r="H67" s="3"/>
      <c r="I67" s="3">
        <v>1</v>
      </c>
      <c r="J67" s="3"/>
      <c r="K67" s="3"/>
      <c r="L67" s="3"/>
      <c r="M67" s="3"/>
      <c r="N67" s="3">
        <v>1</v>
      </c>
      <c r="O67" s="3"/>
      <c r="P67" s="3"/>
      <c r="Q67" s="3"/>
      <c r="R67" s="3"/>
      <c r="S67" s="3"/>
      <c r="T67" s="3">
        <v>1</v>
      </c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>
        <v>13</v>
      </c>
      <c r="D81" s="3">
        <v>6</v>
      </c>
      <c r="E81" s="3">
        <v>7</v>
      </c>
      <c r="F81" s="3" t="s">
        <v>38</v>
      </c>
      <c r="G81" s="3" t="s">
        <v>38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>
        <v>1</v>
      </c>
      <c r="T81" s="3">
        <v>3</v>
      </c>
      <c r="U81" s="3"/>
      <c r="V81" s="3"/>
      <c r="W81" s="3"/>
      <c r="X81" s="3"/>
      <c r="Y81" s="3">
        <v>1</v>
      </c>
      <c r="Z81" s="3"/>
      <c r="AA81" s="3">
        <v>1</v>
      </c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>
        <v>10</v>
      </c>
      <c r="D92" s="3">
        <v>4</v>
      </c>
      <c r="E92" s="3">
        <v>6</v>
      </c>
      <c r="F92" s="3" t="s">
        <v>39</v>
      </c>
      <c r="G92" s="3" t="s">
        <v>38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>
        <v>8</v>
      </c>
      <c r="D103" s="3">
        <v>4</v>
      </c>
      <c r="E103" s="3">
        <v>4</v>
      </c>
      <c r="F103" s="3" t="s">
        <v>38</v>
      </c>
      <c r="G103" s="3" t="s">
        <v>39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>
        <v>1</v>
      </c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>
        <v>25</v>
      </c>
      <c r="D104" s="3">
        <v>13</v>
      </c>
      <c r="E104" s="3">
        <v>12</v>
      </c>
      <c r="F104" s="3" t="s">
        <v>38</v>
      </c>
      <c r="G104" s="3" t="s">
        <v>38</v>
      </c>
      <c r="H104" s="3">
        <v>1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>
        <v>1</v>
      </c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>
        <v>7</v>
      </c>
      <c r="D105" s="3">
        <v>3</v>
      </c>
      <c r="E105" s="3">
        <v>4</v>
      </c>
      <c r="F105" s="3" t="s">
        <v>38</v>
      </c>
      <c r="G105" s="3" t="s">
        <v>38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>
        <v>8</v>
      </c>
      <c r="D107" s="3">
        <v>7</v>
      </c>
      <c r="E107" s="3">
        <v>1</v>
      </c>
      <c r="F107" s="3" t="s">
        <v>38</v>
      </c>
      <c r="G107" s="3" t="s">
        <v>38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>
        <v>1</v>
      </c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>
        <v>29</v>
      </c>
      <c r="D108" s="3">
        <v>10</v>
      </c>
      <c r="E108" s="3">
        <v>19</v>
      </c>
      <c r="F108" s="3" t="s">
        <v>38</v>
      </c>
      <c r="G108" s="3" t="s">
        <v>39</v>
      </c>
      <c r="H108" s="3"/>
      <c r="I108" s="3"/>
      <c r="J108" s="3">
        <v>5</v>
      </c>
      <c r="K108" s="3">
        <v>3</v>
      </c>
      <c r="L108" s="3"/>
      <c r="M108" s="3"/>
      <c r="N108" s="3"/>
      <c r="O108" s="3"/>
      <c r="P108" s="3"/>
      <c r="Q108" s="3">
        <v>1</v>
      </c>
      <c r="R108" s="3"/>
      <c r="S108" s="3"/>
      <c r="T108" s="3">
        <v>1</v>
      </c>
      <c r="U108" s="3"/>
      <c r="V108" s="3"/>
      <c r="W108" s="3"/>
      <c r="X108" s="3"/>
      <c r="Y108" s="3"/>
      <c r="Z108" s="3"/>
      <c r="AA108" s="3">
        <v>1</v>
      </c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>
        <v>13</v>
      </c>
      <c r="D110" s="3">
        <v>6</v>
      </c>
      <c r="E110" s="3">
        <v>7</v>
      </c>
      <c r="F110" s="3" t="s">
        <v>38</v>
      </c>
      <c r="G110" s="3" t="s">
        <v>39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16</v>
      </c>
      <c r="C3" s="5"/>
    </row>
    <row r="4" spans="1:3" x14ac:dyDescent="0.3">
      <c r="A4" s="5" t="s">
        <v>31</v>
      </c>
      <c r="B4" s="5">
        <f>COUNTIF('WhatsApp Data'!F2:F111,"Me")</f>
        <v>13</v>
      </c>
      <c r="C4" s="5"/>
    </row>
    <row r="5" spans="1:3" x14ac:dyDescent="0.3">
      <c r="A5" s="5" t="s">
        <v>32</v>
      </c>
      <c r="B5" s="5">
        <f>COUNTIF('WhatsApp Data'!F2:F111,"You")</f>
        <v>3</v>
      </c>
      <c r="C5" s="5"/>
    </row>
    <row r="6" spans="1:3" x14ac:dyDescent="0.3">
      <c r="A6" s="5" t="s">
        <v>33</v>
      </c>
      <c r="B6" s="5">
        <f>COUNTIF('WhatsApp Data'!G2:G111,"Me")</f>
        <v>9</v>
      </c>
      <c r="C6" s="5"/>
    </row>
    <row r="7" spans="1:3" x14ac:dyDescent="0.3">
      <c r="A7" s="5" t="s">
        <v>34</v>
      </c>
      <c r="B7" s="5">
        <f>COUNTIF('WhatsApp Data'!G2:G111,"You")</f>
        <v>7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173</v>
      </c>
      <c r="C10" s="6">
        <f t="shared" ref="C10:C33" si="0">IFERROR(B10/$B$2,0)</f>
        <v>1.5727272727272728</v>
      </c>
    </row>
    <row r="11" spans="1:3" x14ac:dyDescent="0.3">
      <c r="A11" s="5" t="s">
        <v>3</v>
      </c>
      <c r="B11" s="5">
        <f>SUM('WhatsApp Data'!D2:D111)</f>
        <v>83</v>
      </c>
      <c r="C11" s="6">
        <f t="shared" si="0"/>
        <v>0.75454545454545452</v>
      </c>
    </row>
    <row r="12" spans="1:3" x14ac:dyDescent="0.3">
      <c r="A12" s="5" t="s">
        <v>4</v>
      </c>
      <c r="B12" s="5">
        <f>SUM('WhatsApp Data'!E2:E111)</f>
        <v>89</v>
      </c>
      <c r="C12" s="6">
        <f t="shared" si="0"/>
        <v>0.80909090909090908</v>
      </c>
    </row>
    <row r="13" spans="1:3" x14ac:dyDescent="0.3">
      <c r="A13" s="5" t="s">
        <v>7</v>
      </c>
      <c r="B13" s="5">
        <f>SUM('WhatsApp Data'!H2:H111)</f>
        <v>2</v>
      </c>
      <c r="C13" s="6">
        <f t="shared" si="0"/>
        <v>1.8181818181818181E-2</v>
      </c>
    </row>
    <row r="14" spans="1:3" x14ac:dyDescent="0.3">
      <c r="A14" s="5" t="s">
        <v>8</v>
      </c>
      <c r="B14" s="5">
        <f>SUM('WhatsApp Data'!I2:I111)</f>
        <v>1</v>
      </c>
      <c r="C14" s="6">
        <f t="shared" si="0"/>
        <v>9.0909090909090905E-3</v>
      </c>
    </row>
    <row r="15" spans="1:3" x14ac:dyDescent="0.3">
      <c r="A15" s="5" t="s">
        <v>9</v>
      </c>
      <c r="B15" s="5">
        <f>SUM('WhatsApp Data'!J2:J111)</f>
        <v>5</v>
      </c>
      <c r="C15" s="6">
        <f t="shared" si="0"/>
        <v>4.5454545454545456E-2</v>
      </c>
    </row>
    <row r="16" spans="1:3" x14ac:dyDescent="0.3">
      <c r="A16" s="5" t="s">
        <v>10</v>
      </c>
      <c r="B16" s="5">
        <f>SUM('WhatsApp Data'!K2:K111)</f>
        <v>3</v>
      </c>
      <c r="C16" s="6">
        <f t="shared" si="0"/>
        <v>2.7272727272727271E-2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1</v>
      </c>
      <c r="C19" s="6">
        <f t="shared" si="0"/>
        <v>9.0909090909090905E-3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2</v>
      </c>
      <c r="C22" s="6">
        <f t="shared" si="0"/>
        <v>1.8181818181818181E-2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2</v>
      </c>
      <c r="C24" s="6">
        <f t="shared" si="0"/>
        <v>1.8181818181818181E-2</v>
      </c>
    </row>
    <row r="25" spans="1:3" x14ac:dyDescent="0.3">
      <c r="A25" s="5" t="s">
        <v>19</v>
      </c>
      <c r="B25" s="5">
        <f>SUM('WhatsApp Data'!T2:T111)</f>
        <v>6</v>
      </c>
      <c r="C25" s="6">
        <f t="shared" si="0"/>
        <v>5.4545454545454543E-2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1</v>
      </c>
      <c r="C29" s="6">
        <f t="shared" si="0"/>
        <v>9.0909090909090905E-3</v>
      </c>
    </row>
    <row r="30" spans="1:3" x14ac:dyDescent="0.3">
      <c r="A30" s="5" t="s">
        <v>24</v>
      </c>
      <c r="B30" s="5">
        <f>SUM('WhatsApp Data'!Y2:Y111)</f>
        <v>1</v>
      </c>
      <c r="C30" s="6">
        <f t="shared" si="0"/>
        <v>9.0909090909090905E-3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2</v>
      </c>
      <c r="C32" s="6">
        <f t="shared" si="0"/>
        <v>1.8181818181818181E-2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2026-10-13T16:07:31Z</dcterms:modified>
  <dc:language>en-US</dc:language>
</cp:coreProperties>
</file>