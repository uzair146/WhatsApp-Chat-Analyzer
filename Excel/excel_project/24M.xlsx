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7A289DC3-A86E-4E7A-A75A-D63776B0070D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<sst xmlns="http://schemas.openxmlformats.org/spreadsheetml/2006/main" count="84" uniqueCount="40">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</sst>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70" activePane="bottomRight" state="frozen"/>
      <selection pane="topRight" activeCell="C1" sqref="C1"/>
      <selection pane="bottomLeft" activeCell="A2" sqref="A2"/>
      <selection pane="bottomRight" activeCell="H99" sqref="H99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8</v>
      </c>
      <c r="D7" s="3">
        <v>3</v>
      </c>
      <c r="E7" s="3">
        <v>5</v>
      </c>
      <c r="F7" s="3" t="s">
        <v>38</v>
      </c>
      <c r="G7" s="3" t="s">
        <v>39</v>
      </c>
      <c r="H7" s="3"/>
      <c r="I7" s="3">
        <v>2</v>
      </c>
      <c r="J7" s="3"/>
      <c r="K7" s="3"/>
      <c r="L7" s="3"/>
      <c r="M7" s="3"/>
      <c r="N7" s="3"/>
      <c r="O7" s="3"/>
      <c r="P7" s="3"/>
      <c r="Q7" s="3"/>
      <c r="R7" s="3"/>
      <c r="S7" s="3">
        <v>2</v>
      </c>
      <c r="T7" s="3">
        <v>2</v>
      </c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>
        <v>12</v>
      </c>
      <c r="D8" s="3">
        <v>7</v>
      </c>
      <c r="E8" s="3">
        <v>5</v>
      </c>
      <c r="F8" s="3" t="s">
        <v>38</v>
      </c>
      <c r="G8" s="3" t="s">
        <v>38</v>
      </c>
      <c r="H8" s="3"/>
      <c r="I8" s="3">
        <v>1</v>
      </c>
      <c r="J8" s="3"/>
      <c r="K8" s="3"/>
      <c r="L8" s="3"/>
      <c r="M8" s="3"/>
      <c r="N8" s="3"/>
      <c r="O8" s="3"/>
      <c r="P8" s="3"/>
      <c r="Q8" s="3"/>
      <c r="R8" s="3"/>
      <c r="S8" s="3"/>
      <c r="T8" s="3">
        <v>1</v>
      </c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>
        <v>5</v>
      </c>
      <c r="D19" s="3">
        <v>2</v>
      </c>
      <c r="E19" s="3">
        <v>3</v>
      </c>
      <c r="F19" s="3" t="s">
        <v>39</v>
      </c>
      <c r="G19" s="3" t="s">
        <v>39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>
        <v>5</v>
      </c>
      <c r="D23" s="3">
        <v>2</v>
      </c>
      <c r="E23" s="3">
        <v>3</v>
      </c>
      <c r="F23" s="3" t="s">
        <v>38</v>
      </c>
      <c r="G23" s="3" t="s">
        <v>39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>
        <v>11</v>
      </c>
      <c r="D34" s="3">
        <v>10</v>
      </c>
      <c r="E34" s="3">
        <v>1</v>
      </c>
      <c r="F34" s="3" t="s">
        <v>38</v>
      </c>
      <c r="G34" s="3" t="s">
        <v>38</v>
      </c>
      <c r="H34" s="3">
        <v>1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>
        <v>3</v>
      </c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>
        <v>1</v>
      </c>
      <c r="D35" s="3">
        <v>1</v>
      </c>
      <c r="E35" s="3"/>
      <c r="F35" s="3" t="s">
        <v>38</v>
      </c>
      <c r="G35" s="3" t="s">
        <v>38</v>
      </c>
      <c r="H35" s="3"/>
      <c r="I35" s="3"/>
      <c r="J35" s="3"/>
      <c r="K35" s="3"/>
      <c r="L35" s="3"/>
      <c r="M35" s="3"/>
      <c r="N35" s="3"/>
      <c r="O35" s="3"/>
      <c r="P35" s="3"/>
      <c r="Q35" s="3">
        <v>1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>
        <v>7</v>
      </c>
      <c r="D36" s="3">
        <v>4</v>
      </c>
      <c r="E36" s="3">
        <v>3</v>
      </c>
      <c r="F36" s="3" t="s">
        <v>38</v>
      </c>
      <c r="G36" s="3" t="s">
        <v>39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>
        <v>33</v>
      </c>
      <c r="D74" s="3">
        <v>19</v>
      </c>
      <c r="E74" s="3">
        <v>14</v>
      </c>
      <c r="F74" s="3" t="s">
        <v>38</v>
      </c>
      <c r="G74" s="3" t="s">
        <v>38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1</v>
      </c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>
        <v>20</v>
      </c>
      <c r="D79" s="3">
        <v>13</v>
      </c>
      <c r="E79" s="3">
        <v>7</v>
      </c>
      <c r="F79" s="3" t="s">
        <v>38</v>
      </c>
      <c r="G79" s="3" t="s">
        <v>39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3</v>
      </c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>
        <v>6</v>
      </c>
      <c r="D83" s="3">
        <v>3</v>
      </c>
      <c r="E83" s="3">
        <v>3</v>
      </c>
      <c r="F83" s="3" t="s">
        <v>38</v>
      </c>
      <c r="G83" s="3" t="s">
        <v>39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>
        <v>1</v>
      </c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>
        <v>10</v>
      </c>
      <c r="D99" s="3">
        <v>6</v>
      </c>
      <c r="E99" s="3">
        <v>4</v>
      </c>
      <c r="F99" s="3" t="s">
        <v>38</v>
      </c>
      <c r="G99" s="3" t="s">
        <v>38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>
      <selection activeCell="H22" sqref="H22"/>
    </sheetView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11</v>
      </c>
      <c r="C3" s="5"/>
    </row>
    <row r="4" spans="1:3" x14ac:dyDescent="0.3">
      <c r="A4" s="5" t="s">
        <v>31</v>
      </c>
      <c r="B4" s="5">
        <f>COUNTIF('WhatsApp Data'!F2:F111,"Me")</f>
        <v>10</v>
      </c>
      <c r="C4" s="5"/>
    </row>
    <row r="5" spans="1:3" x14ac:dyDescent="0.3">
      <c r="A5" s="5" t="s">
        <v>32</v>
      </c>
      <c r="B5" s="5">
        <f>COUNTIF('WhatsApp Data'!F2:F111,"You")</f>
        <v>1</v>
      </c>
      <c r="C5" s="5"/>
    </row>
    <row r="6" spans="1:3" x14ac:dyDescent="0.3">
      <c r="A6" s="5" t="s">
        <v>33</v>
      </c>
      <c r="B6" s="5">
        <f>COUNTIF('WhatsApp Data'!G2:G111,"Me")</f>
        <v>5</v>
      </c>
      <c r="C6" s="5"/>
    </row>
    <row r="7" spans="1:3" x14ac:dyDescent="0.3">
      <c r="A7" s="5" t="s">
        <v>34</v>
      </c>
      <c r="B7" s="5">
        <f>COUNTIF('WhatsApp Data'!G2:G111,"You")</f>
        <v>6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118</v>
      </c>
      <c r="C10" s="6">
        <f t="shared" ref="C10:C33" si="0">IFERROR(B10/$B$2,0)</f>
        <v>1.0727272727272728</v>
      </c>
    </row>
    <row r="11" spans="1:3" x14ac:dyDescent="0.3">
      <c r="A11" s="5" t="s">
        <v>3</v>
      </c>
      <c r="B11" s="5">
        <f>SUM('WhatsApp Data'!D2:D111)</f>
        <v>70</v>
      </c>
      <c r="C11" s="6">
        <f t="shared" si="0"/>
        <v>0.63636363636363635</v>
      </c>
    </row>
    <row r="12" spans="1:3" x14ac:dyDescent="0.3">
      <c r="A12" s="5" t="s">
        <v>4</v>
      </c>
      <c r="B12" s="5">
        <f>SUM('WhatsApp Data'!E2:E111)</f>
        <v>48</v>
      </c>
      <c r="C12" s="6">
        <f t="shared" si="0"/>
        <v>0.43636363636363634</v>
      </c>
    </row>
    <row r="13" spans="1:3" x14ac:dyDescent="0.3">
      <c r="A13" s="5" t="s">
        <v>7</v>
      </c>
      <c r="B13" s="5">
        <f>SUM('WhatsApp Data'!H2:H111)</f>
        <v>1</v>
      </c>
      <c r="C13" s="6">
        <f t="shared" si="0"/>
        <v>9.0909090909090905E-3</v>
      </c>
    </row>
    <row r="14" spans="1:3" x14ac:dyDescent="0.3">
      <c r="A14" s="5" t="s">
        <v>8</v>
      </c>
      <c r="B14" s="5">
        <f>SUM('WhatsApp Data'!I2:I111)</f>
        <v>3</v>
      </c>
      <c r="C14" s="6">
        <f t="shared" si="0"/>
        <v>2.7272727272727271E-2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1</v>
      </c>
      <c r="C22" s="6">
        <f t="shared" si="0"/>
        <v>9.0909090909090905E-3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2</v>
      </c>
      <c r="C24" s="6">
        <f t="shared" si="0"/>
        <v>1.8181818181818181E-2</v>
      </c>
    </row>
    <row r="25" spans="1:3" x14ac:dyDescent="0.3">
      <c r="A25" s="5" t="s">
        <v>19</v>
      </c>
      <c r="B25" s="5">
        <f>SUM('WhatsApp Data'!T2:T111)</f>
        <v>8</v>
      </c>
      <c r="C25" s="6">
        <f t="shared" si="0"/>
        <v>7.2727272727272724E-2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3</v>
      </c>
      <c r="C32" s="6">
        <f t="shared" si="0"/>
        <v>2.7272727272727271E-2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2026-10-13T17:05:37Z</dcterms:modified>
  <dc:language>en-US</dc:language>
</cp:coreProperties>
</file>