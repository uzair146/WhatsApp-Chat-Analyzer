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0B5BE003-0BBF-4560-B9CC-B15B4C7CF5D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B30" i="2"/>
  <c r="B29" i="2"/>
  <c r="C29" i="2" s="1"/>
  <c r="B28" i="2"/>
  <c r="B27" i="2"/>
  <c r="C27" i="2" s="1"/>
  <c r="B26" i="2"/>
  <c r="B25" i="2"/>
  <c r="C25" i="2" s="1"/>
  <c r="B24" i="2"/>
  <c r="B23" i="2"/>
  <c r="C23" i="2" s="1"/>
  <c r="B22" i="2"/>
  <c r="B21" i="2"/>
  <c r="C21" i="2" s="1"/>
  <c r="B20" i="2"/>
  <c r="B19" i="2"/>
  <c r="C19" i="2" s="1"/>
  <c r="B18" i="2"/>
  <c r="B17" i="2"/>
  <c r="C17" i="2" s="1"/>
  <c r="B16" i="2"/>
  <c r="B15" i="2"/>
  <c r="C15" i="2" s="1"/>
  <c r="B14" i="2"/>
  <c r="B13" i="2"/>
  <c r="C13" i="2" s="1"/>
  <c r="B12" i="2"/>
  <c r="B11" i="2"/>
  <c r="C11" i="2" s="1"/>
  <c r="B10" i="2"/>
  <c r="B7" i="2"/>
  <c r="B6" i="2"/>
  <c r="B5" i="2"/>
  <c r="B4" i="2"/>
  <c r="B3" i="2"/>
  <c r="B2" i="2"/>
  <c r="C31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0" i="2" l="1"/>
  <c r="C12" i="2"/>
  <c r="C14" i="2"/>
  <c r="C16" i="2"/>
  <c r="C18" i="2"/>
  <c r="C20" i="2"/>
  <c r="C22" i="2"/>
  <c r="C24" i="2"/>
  <c r="C26" i="2"/>
  <c r="C28" i="2"/>
  <c r="C30" i="2"/>
</calcChain>
</file>

<file path=xl/sharedStrings.xml><?xml version="1.0" encoding="utf-8"?>
<sst xmlns="http://schemas.openxmlformats.org/spreadsheetml/2006/main" count="84" uniqueCount="40">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</sst>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67" activePane="bottomRight" state="frozen"/>
      <selection pane="topRight" activeCell="C1" sqref="C1"/>
      <selection pane="bottomLeft" activeCell="A2" sqref="A2"/>
      <selection pane="bottomRight" activeCell="H91" sqref="H9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3</v>
      </c>
      <c r="D7" s="3">
        <v>2</v>
      </c>
      <c r="E7" s="3">
        <v>1</v>
      </c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21</v>
      </c>
      <c r="D8" s="3">
        <v>13</v>
      </c>
      <c r="E8" s="3">
        <v>8</v>
      </c>
      <c r="F8" s="3" t="s">
        <v>39</v>
      </c>
      <c r="G8" s="3" t="s">
        <v>38</v>
      </c>
      <c r="H8" s="3"/>
      <c r="I8" s="3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>
        <v>4</v>
      </c>
      <c r="D9" s="3">
        <v>3</v>
      </c>
      <c r="E9" s="3">
        <v>1</v>
      </c>
      <c r="F9" s="3" t="s">
        <v>38</v>
      </c>
      <c r="G9" s="3" t="s">
        <v>38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>
        <v>12</v>
      </c>
      <c r="D17" s="3">
        <v>7</v>
      </c>
      <c r="E17" s="3">
        <v>5</v>
      </c>
      <c r="F17" s="3" t="s">
        <v>38</v>
      </c>
      <c r="G17" s="3" t="s">
        <v>39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>
        <v>1</v>
      </c>
      <c r="D18" s="3">
        <v>1</v>
      </c>
      <c r="E18" s="3"/>
      <c r="F18" s="3" t="s">
        <v>38</v>
      </c>
      <c r="G18" s="3" t="s">
        <v>38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47</v>
      </c>
      <c r="D44" s="3">
        <v>18</v>
      </c>
      <c r="E44" s="3">
        <v>29</v>
      </c>
      <c r="F44" s="3" t="s">
        <v>39</v>
      </c>
      <c r="G44" s="3" t="s">
        <v>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8</v>
      </c>
      <c r="D45" s="3">
        <v>4</v>
      </c>
      <c r="E45" s="3">
        <v>4</v>
      </c>
      <c r="F45" s="3" t="s">
        <v>38</v>
      </c>
      <c r="G45" s="3" t="s">
        <v>38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1</v>
      </c>
      <c r="D63" s="3">
        <v>1</v>
      </c>
      <c r="E63" s="3"/>
      <c r="F63" s="3" t="s">
        <v>38</v>
      </c>
      <c r="G63" s="3" t="s">
        <v>38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1</v>
      </c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>
        <v>5</v>
      </c>
      <c r="D79" s="3">
        <v>3</v>
      </c>
      <c r="E79" s="3">
        <v>2</v>
      </c>
      <c r="F79" s="3" t="s">
        <v>38</v>
      </c>
      <c r="G79" s="3" t="s">
        <v>39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13</v>
      </c>
      <c r="D83" s="3">
        <v>7</v>
      </c>
      <c r="E83" s="3">
        <v>6</v>
      </c>
      <c r="F83" s="3" t="s">
        <v>38</v>
      </c>
      <c r="G83" s="3" t="s">
        <v>38</v>
      </c>
      <c r="H83" s="3"/>
      <c r="I83" s="3"/>
      <c r="J83" s="3"/>
      <c r="K83" s="3">
        <v>6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>
        <v>6</v>
      </c>
      <c r="D91" s="3">
        <v>4</v>
      </c>
      <c r="E91" s="3">
        <v>2</v>
      </c>
      <c r="F91" s="3" t="s">
        <v>38</v>
      </c>
      <c r="G91" s="3" t="s">
        <v>39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11</v>
      </c>
      <c r="C3" s="5"/>
    </row>
    <row r="4" spans="1:3" x14ac:dyDescent="0.3">
      <c r="A4" s="5" t="s">
        <v>31</v>
      </c>
      <c r="B4" s="5">
        <f>COUNTIF('WhatsApp Data'!F2:F111,"Me")</f>
        <v>9</v>
      </c>
      <c r="C4" s="5"/>
    </row>
    <row r="5" spans="1:3" x14ac:dyDescent="0.3">
      <c r="A5" s="5" t="s">
        <v>32</v>
      </c>
      <c r="B5" s="5">
        <f>COUNTIF('WhatsApp Data'!F2:F111,"You")</f>
        <v>2</v>
      </c>
      <c r="C5" s="5"/>
    </row>
    <row r="6" spans="1:3" x14ac:dyDescent="0.3">
      <c r="A6" s="5" t="s">
        <v>33</v>
      </c>
      <c r="B6" s="5">
        <f>COUNTIF('WhatsApp Data'!G2:G111,"Me")</f>
        <v>7</v>
      </c>
      <c r="C6" s="5"/>
    </row>
    <row r="7" spans="1:3" x14ac:dyDescent="0.3">
      <c r="A7" s="5" t="s">
        <v>34</v>
      </c>
      <c r="B7" s="5">
        <f>COUNTIF('WhatsApp Data'!G2:G111,"You")</f>
        <v>4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121</v>
      </c>
      <c r="C10" s="6">
        <f t="shared" ref="C10:C33" si="0">IFERROR(B10/$B$2,0)</f>
        <v>1.1000000000000001</v>
      </c>
    </row>
    <row r="11" spans="1:3" x14ac:dyDescent="0.3">
      <c r="A11" s="5" t="s">
        <v>3</v>
      </c>
      <c r="B11" s="5">
        <f>SUM('WhatsApp Data'!D2:D111)</f>
        <v>63</v>
      </c>
      <c r="C11" s="6">
        <f t="shared" si="0"/>
        <v>0.57272727272727275</v>
      </c>
    </row>
    <row r="12" spans="1:3" x14ac:dyDescent="0.3">
      <c r="A12" s="5" t="s">
        <v>4</v>
      </c>
      <c r="B12" s="5">
        <f>SUM('WhatsApp Data'!E2:E111)</f>
        <v>58</v>
      </c>
      <c r="C12" s="6">
        <f t="shared" si="0"/>
        <v>0.52727272727272723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6</v>
      </c>
      <c r="C16" s="6">
        <f t="shared" si="0"/>
        <v>5.4545454545454543E-2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2026-10-22T09:53:40Z</dcterms:modified>
  <dc:language>en-US</dc:language>
</cp:coreProperties>
</file>