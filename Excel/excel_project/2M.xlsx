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45E1B2F4-7AF0-47E4-956F-FF1439E9AC66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<sst xmlns="http://schemas.openxmlformats.org/spreadsheetml/2006/main" count="230" uniqueCount="40">
  <si>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</si>
  <si>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</si>
  <si>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</si>
  <si>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</si>
  <si>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</si>
  <si>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</si>
  <si>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</si>
  <si>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</si>
  <si>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</si>
  <si>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</si>
  <si>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</si>
  <si>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</si>
  <si>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</si>
  <si>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</si>
  <si>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</si>
  <si>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</si>
  <si>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</si>
  <si>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</si>
  <si>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</si>
  <si>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</si>
  <si>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</si>
  <si>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</si>
  <si>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</si>
  <si>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</si>
  <si>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</si>
  <si>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</si>
  <si>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</si>
  <si>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</si>
  <si>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</si>
  <si>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</si>
  <si>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</si>
  <si>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</si>
  <si>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</si>
  <si>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</si>
  <si>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</si>
  <si>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</si>
  <si>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</si>
  <si>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</si>
  <si>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You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</si>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</sst>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F87" activePane="bottomRight" state="frozen"/>
      <selection pane="topRight" activeCell="C1" sqref="C1"/>
      <selection pane="bottomLeft" activeCell="A2" sqref="A2"/>
      <selection pane="bottomRight" activeCell="Q111" sqref="Q111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>
        <v>4</v>
      </c>
      <c r="D2" s="3">
        <v>2</v>
      </c>
      <c r="E2" s="3">
        <v>2</v>
      </c>
      <c r="F2" s="3" t="s">
        <v>38</v>
      </c>
      <c r="G2" s="3" t="s">
        <v>38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>
        <v>3</v>
      </c>
      <c r="D3" s="3">
        <v>2</v>
      </c>
      <c r="E3" s="3">
        <v>1</v>
      </c>
      <c r="F3" s="3" t="s">
        <v>39</v>
      </c>
      <c r="G3" s="3" t="s">
        <v>39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>
        <v>8</v>
      </c>
      <c r="D5" s="3">
        <v>5</v>
      </c>
      <c r="E5" s="3">
        <v>3</v>
      </c>
      <c r="F5" s="3" t="s">
        <v>38</v>
      </c>
      <c r="G5" s="3" t="s">
        <v>39</v>
      </c>
      <c r="H5" s="3"/>
      <c r="I5" s="3"/>
      <c r="J5" s="3"/>
      <c r="K5" s="3"/>
      <c r="L5" s="3"/>
      <c r="M5" s="3"/>
      <c r="N5" s="3">
        <v>1</v>
      </c>
      <c r="O5" s="3"/>
      <c r="P5" s="3"/>
      <c r="Q5" s="3"/>
      <c r="R5" s="3"/>
      <c r="S5" s="3"/>
      <c r="T5" s="3">
        <v>1</v>
      </c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>
        <v>14</v>
      </c>
      <c r="D6" s="3">
        <v>8</v>
      </c>
      <c r="E6" s="3">
        <v>6</v>
      </c>
      <c r="F6" s="3" t="s">
        <v>39</v>
      </c>
      <c r="G6" s="3" t="s">
        <v>38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1</v>
      </c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>
        <v>35</v>
      </c>
      <c r="D7" s="3">
        <v>13</v>
      </c>
      <c r="E7" s="3">
        <v>22</v>
      </c>
      <c r="F7" s="3" t="s">
        <v>39</v>
      </c>
      <c r="G7" s="3" t="s">
        <v>38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>
        <v>1</v>
      </c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>
        <v>24</v>
      </c>
      <c r="D8" s="3">
        <v>11</v>
      </c>
      <c r="E8" s="3">
        <v>13</v>
      </c>
      <c r="F8" s="3" t="s">
        <v>39</v>
      </c>
      <c r="G8" s="3" t="s">
        <v>39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>
        <v>3</v>
      </c>
      <c r="T8" s="3">
        <v>1</v>
      </c>
      <c r="U8" s="3"/>
      <c r="V8" s="3"/>
      <c r="W8" s="3"/>
      <c r="X8" s="3"/>
      <c r="Y8" s="3"/>
      <c r="Z8" s="3"/>
      <c r="AA8" s="3">
        <v>1</v>
      </c>
      <c r="AB8" s="3">
        <v>1</v>
      </c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>
        <v>11</v>
      </c>
      <c r="D10" s="3">
        <v>8</v>
      </c>
      <c r="E10" s="3">
        <v>3</v>
      </c>
      <c r="F10" s="3" t="s">
        <v>39</v>
      </c>
      <c r="G10" s="3" t="s">
        <v>38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>
        <v>1</v>
      </c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>
        <v>16</v>
      </c>
      <c r="D13" s="3">
        <v>9</v>
      </c>
      <c r="E13" s="3">
        <v>7</v>
      </c>
      <c r="F13" s="3" t="s">
        <v>39</v>
      </c>
      <c r="G13" s="3" t="s">
        <v>39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>
        <v>1</v>
      </c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>
        <v>16</v>
      </c>
      <c r="D14" s="3">
        <v>11</v>
      </c>
      <c r="E14" s="3">
        <v>5</v>
      </c>
      <c r="F14" s="3" t="s">
        <v>39</v>
      </c>
      <c r="G14" s="3" t="s">
        <v>38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>
        <v>1</v>
      </c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>
        <v>5</v>
      </c>
      <c r="D15" s="3">
        <v>2</v>
      </c>
      <c r="E15" s="3">
        <v>3</v>
      </c>
      <c r="F15" s="3" t="s">
        <v>39</v>
      </c>
      <c r="G15" s="3" t="s">
        <v>39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v>1</v>
      </c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>
        <v>9</v>
      </c>
      <c r="D16" s="3">
        <v>6</v>
      </c>
      <c r="E16" s="3">
        <v>3</v>
      </c>
      <c r="F16" s="3" t="s">
        <v>39</v>
      </c>
      <c r="G16" s="3" t="s">
        <v>39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>
        <v>1</v>
      </c>
      <c r="T16" s="3">
        <v>1</v>
      </c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>
        <v>46</v>
      </c>
      <c r="D17" s="3">
        <v>27</v>
      </c>
      <c r="E17" s="3">
        <v>19</v>
      </c>
      <c r="F17" s="3" t="s">
        <v>39</v>
      </c>
      <c r="G17" s="3" t="s">
        <v>38</v>
      </c>
      <c r="H17" s="3"/>
      <c r="I17" s="3"/>
      <c r="J17" s="3"/>
      <c r="K17" s="3"/>
      <c r="L17" s="3"/>
      <c r="M17" s="3">
        <v>1</v>
      </c>
      <c r="N17" s="3"/>
      <c r="O17" s="3"/>
      <c r="P17" s="3">
        <v>0.37</v>
      </c>
      <c r="Q17" s="3"/>
      <c r="R17" s="3"/>
      <c r="S17" s="3">
        <v>4</v>
      </c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>
        <v>28</v>
      </c>
      <c r="D19" s="3">
        <v>18</v>
      </c>
      <c r="E19" s="3">
        <v>10</v>
      </c>
      <c r="F19" s="3" t="s">
        <v>39</v>
      </c>
      <c r="G19" s="3" t="s">
        <v>38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4</v>
      </c>
      <c r="T19" s="3"/>
      <c r="U19" s="3"/>
      <c r="V19" s="3"/>
      <c r="W19" s="3"/>
      <c r="X19" s="3"/>
      <c r="Y19" s="3"/>
      <c r="Z19" s="3"/>
      <c r="AA19" s="3">
        <v>1</v>
      </c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>
        <v>27</v>
      </c>
      <c r="D22" s="3">
        <v>16</v>
      </c>
      <c r="E22" s="3">
        <v>11</v>
      </c>
      <c r="F22" s="3" t="s">
        <v>39</v>
      </c>
      <c r="G22" s="3" t="s">
        <v>38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>
        <v>52</v>
      </c>
      <c r="D23" s="3">
        <v>29</v>
      </c>
      <c r="E23" s="3">
        <v>23</v>
      </c>
      <c r="F23" s="3" t="s">
        <v>39</v>
      </c>
      <c r="G23" s="3" t="s">
        <v>39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>
        <v>1</v>
      </c>
      <c r="T23" s="3"/>
      <c r="U23" s="3"/>
      <c r="V23" s="3"/>
      <c r="W23" s="3"/>
      <c r="X23" s="3"/>
      <c r="Y23" s="3"/>
      <c r="Z23" s="3"/>
      <c r="AA23" s="3">
        <v>1</v>
      </c>
      <c r="AB23" s="3"/>
    </row>
    <row r="24" spans="1:28" x14ac:dyDescent="0.3">
      <c r="A24" s="2">
        <v>46063</v>
      </c>
      <c r="B24" s="3" t="str">
        <f t="shared" si="0"/>
        <v>Tue</v>
      </c>
      <c r="C24" s="3">
        <v>14</v>
      </c>
      <c r="D24" s="3">
        <v>8</v>
      </c>
      <c r="E24" s="3">
        <v>6</v>
      </c>
      <c r="F24" s="3" t="s">
        <v>38</v>
      </c>
      <c r="G24" s="3" t="s">
        <v>39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>
        <v>1</v>
      </c>
      <c r="D25" s="3">
        <v>1</v>
      </c>
      <c r="E25" s="3"/>
      <c r="F25" s="3" t="s">
        <v>39</v>
      </c>
      <c r="G25" s="3" t="s">
        <v>39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1</v>
      </c>
      <c r="AB25" s="3"/>
    </row>
    <row r="26" spans="1:28" x14ac:dyDescent="0.3">
      <c r="A26" s="2">
        <v>46065</v>
      </c>
      <c r="B26" s="3" t="str">
        <f t="shared" si="0"/>
        <v>Thu</v>
      </c>
      <c r="C26" s="3">
        <v>1</v>
      </c>
      <c r="D26" s="3">
        <v>1</v>
      </c>
      <c r="E26" s="3"/>
      <c r="F26" s="3" t="s">
        <v>39</v>
      </c>
      <c r="G26" s="3" t="s">
        <v>39</v>
      </c>
      <c r="H26" s="3"/>
      <c r="I26" s="3"/>
      <c r="J26" s="3"/>
      <c r="K26" s="3"/>
      <c r="L26" s="3"/>
      <c r="M26" s="3"/>
      <c r="N26" s="3"/>
      <c r="O26" s="3"/>
      <c r="P26" s="3"/>
      <c r="Q26" s="3">
        <v>1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>
        <v>6</v>
      </c>
      <c r="D27" s="3">
        <v>4</v>
      </c>
      <c r="E27" s="3">
        <v>2</v>
      </c>
      <c r="F27" s="3" t="s">
        <v>39</v>
      </c>
      <c r="G27" s="3" t="s">
        <v>38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>
        <v>20</v>
      </c>
      <c r="D28" s="3">
        <v>9</v>
      </c>
      <c r="E28" s="3">
        <v>11</v>
      </c>
      <c r="F28" s="3" t="s">
        <v>39</v>
      </c>
      <c r="G28" s="3" t="s">
        <v>38</v>
      </c>
      <c r="H28" s="3">
        <v>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>
        <v>5</v>
      </c>
      <c r="T28" s="3">
        <v>1</v>
      </c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>
        <v>38</v>
      </c>
      <c r="D29" s="3">
        <v>22</v>
      </c>
      <c r="E29" s="3">
        <v>16</v>
      </c>
      <c r="F29" s="3" t="s">
        <v>39</v>
      </c>
      <c r="G29" s="3" t="s">
        <v>38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>
        <v>1</v>
      </c>
      <c r="T29" s="3">
        <v>4</v>
      </c>
      <c r="U29" s="3"/>
      <c r="V29" s="3"/>
      <c r="W29" s="3"/>
      <c r="X29" s="3"/>
      <c r="Y29" s="3"/>
      <c r="Z29" s="3"/>
      <c r="AA29" s="3">
        <v>1</v>
      </c>
      <c r="AB29" s="3"/>
    </row>
    <row r="30" spans="1:28" x14ac:dyDescent="0.3">
      <c r="A30" s="2">
        <v>46069</v>
      </c>
      <c r="B30" s="3" t="str">
        <f t="shared" si="0"/>
        <v>Mon</v>
      </c>
      <c r="C30" s="3">
        <v>25</v>
      </c>
      <c r="D30" s="3">
        <v>12</v>
      </c>
      <c r="E30" s="3">
        <v>13</v>
      </c>
      <c r="F30" s="3" t="s">
        <v>39</v>
      </c>
      <c r="G30" s="3" t="s">
        <v>38</v>
      </c>
      <c r="H30" s="3"/>
      <c r="I30" s="3"/>
      <c r="J30" s="3">
        <v>1</v>
      </c>
      <c r="K30" s="3"/>
      <c r="L30" s="3"/>
      <c r="M30" s="3"/>
      <c r="N30" s="3"/>
      <c r="O30" s="3"/>
      <c r="P30" s="3"/>
      <c r="Q30" s="3"/>
      <c r="R30" s="3"/>
      <c r="S30" s="3">
        <v>1</v>
      </c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>
        <v>22</v>
      </c>
      <c r="D31" s="3">
        <v>11</v>
      </c>
      <c r="E31" s="3">
        <v>11</v>
      </c>
      <c r="F31" s="3" t="s">
        <v>39</v>
      </c>
      <c r="G31" s="3" t="s">
        <v>38</v>
      </c>
      <c r="H31" s="3"/>
      <c r="I31" s="3"/>
      <c r="J31" s="3">
        <v>2</v>
      </c>
      <c r="K31" s="3"/>
      <c r="L31" s="3"/>
      <c r="M31" s="3"/>
      <c r="N31" s="3"/>
      <c r="O31" s="3"/>
      <c r="P31" s="3"/>
      <c r="Q31" s="3"/>
      <c r="R31" s="3"/>
      <c r="S31" s="3"/>
      <c r="T31" s="3">
        <v>1</v>
      </c>
      <c r="U31" s="3"/>
      <c r="V31" s="3"/>
      <c r="W31" s="3"/>
      <c r="X31" s="3"/>
      <c r="Y31" s="3"/>
      <c r="Z31" s="3">
        <v>1</v>
      </c>
      <c r="AA31" s="3">
        <v>1</v>
      </c>
      <c r="AB31" s="3"/>
    </row>
    <row r="32" spans="1:28" x14ac:dyDescent="0.3">
      <c r="A32" s="2">
        <v>46071</v>
      </c>
      <c r="B32" s="3" t="str">
        <f t="shared" si="0"/>
        <v>Wed</v>
      </c>
      <c r="C32" s="3">
        <v>29</v>
      </c>
      <c r="D32" s="3">
        <v>14</v>
      </c>
      <c r="E32" s="3">
        <v>15</v>
      </c>
      <c r="F32" s="3" t="s">
        <v>39</v>
      </c>
      <c r="G32" s="3" t="s">
        <v>39</v>
      </c>
      <c r="H32" s="3"/>
      <c r="I32" s="3">
        <v>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</v>
      </c>
    </row>
    <row r="33" spans="1:28" x14ac:dyDescent="0.3">
      <c r="A33" s="2">
        <v>46072</v>
      </c>
      <c r="B33" s="3" t="str">
        <f t="shared" si="0"/>
        <v>Thu</v>
      </c>
      <c r="C33" s="3">
        <v>15</v>
      </c>
      <c r="D33" s="3">
        <v>6</v>
      </c>
      <c r="E33" s="3">
        <v>9</v>
      </c>
      <c r="F33" s="3" t="s">
        <v>38</v>
      </c>
      <c r="G33" s="3" t="s">
        <v>38</v>
      </c>
      <c r="H33" s="3"/>
      <c r="I33" s="3"/>
      <c r="J33" s="3"/>
      <c r="K33" s="3"/>
      <c r="L33" s="3"/>
      <c r="M33" s="3"/>
      <c r="N33" s="3">
        <v>1</v>
      </c>
      <c r="O33" s="3"/>
      <c r="P33" s="3"/>
      <c r="Q33" s="3"/>
      <c r="R33" s="3"/>
      <c r="S33" s="3">
        <v>1</v>
      </c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>
        <v>9</v>
      </c>
      <c r="D34" s="3">
        <v>5</v>
      </c>
      <c r="E34" s="3">
        <v>4</v>
      </c>
      <c r="F34" s="3" t="s">
        <v>39</v>
      </c>
      <c r="G34" s="3" t="s">
        <v>39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>
        <v>12</v>
      </c>
      <c r="D35" s="3">
        <v>6</v>
      </c>
      <c r="E35" s="3">
        <v>6</v>
      </c>
      <c r="F35" s="3" t="s">
        <v>38</v>
      </c>
      <c r="G35" s="3" t="s">
        <v>38</v>
      </c>
      <c r="H35" s="3"/>
      <c r="I35" s="3"/>
      <c r="J35" s="3"/>
      <c r="K35" s="3"/>
      <c r="L35" s="3"/>
      <c r="M35" s="3"/>
      <c r="N35" s="3">
        <v>1</v>
      </c>
      <c r="O35" s="3"/>
      <c r="P35" s="3"/>
      <c r="Q35" s="3"/>
      <c r="R35" s="3"/>
      <c r="S35" s="3">
        <v>1</v>
      </c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>
        <v>23</v>
      </c>
      <c r="D36" s="3">
        <v>11</v>
      </c>
      <c r="E36" s="3">
        <v>12</v>
      </c>
      <c r="F36" s="3" t="s">
        <v>39</v>
      </c>
      <c r="G36" s="3" t="s">
        <v>38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>
        <v>1</v>
      </c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>
        <v>49</v>
      </c>
      <c r="D37" s="3">
        <v>23</v>
      </c>
      <c r="E37" s="3">
        <v>26</v>
      </c>
      <c r="F37" s="3" t="s">
        <v>39</v>
      </c>
      <c r="G37" s="3" t="s">
        <v>38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>
        <v>1</v>
      </c>
      <c r="T37" s="3"/>
      <c r="U37" s="3"/>
      <c r="V37" s="3"/>
      <c r="W37" s="3"/>
      <c r="X37" s="3">
        <v>1</v>
      </c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>
        <v>18</v>
      </c>
      <c r="D38" s="3">
        <v>9</v>
      </c>
      <c r="E38" s="3">
        <v>9</v>
      </c>
      <c r="F38" s="3" t="s">
        <v>39</v>
      </c>
      <c r="G38" s="3" t="s">
        <v>38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>
        <v>1</v>
      </c>
      <c r="T38" s="3"/>
      <c r="U38" s="3"/>
      <c r="V38" s="3"/>
      <c r="W38" s="3"/>
      <c r="X38" s="3"/>
      <c r="Y38" s="3"/>
      <c r="Z38" s="3">
        <v>1</v>
      </c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>
        <v>19</v>
      </c>
      <c r="D39" s="3">
        <v>8</v>
      </c>
      <c r="E39" s="3">
        <v>11</v>
      </c>
      <c r="F39" s="3" t="s">
        <v>39</v>
      </c>
      <c r="G39" s="3" t="s">
        <v>39</v>
      </c>
      <c r="H39" s="3"/>
      <c r="I39" s="3"/>
      <c r="J39" s="3"/>
      <c r="K39" s="3"/>
      <c r="L39" s="3"/>
      <c r="M39" s="3"/>
      <c r="N39" s="3">
        <v>2</v>
      </c>
      <c r="O39" s="3"/>
      <c r="P39" s="3"/>
      <c r="Q39" s="3"/>
      <c r="R39" s="3"/>
      <c r="S39" s="3"/>
      <c r="T39" s="3">
        <v>1</v>
      </c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>
        <v>10</v>
      </c>
      <c r="D41" s="3">
        <v>6</v>
      </c>
      <c r="E41" s="3">
        <v>4</v>
      </c>
      <c r="F41" s="3" t="s">
        <v>38</v>
      </c>
      <c r="G41" s="3" t="s">
        <v>38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>
        <v>1</v>
      </c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>
        <v>53</v>
      </c>
      <c r="D42" s="3">
        <v>27</v>
      </c>
      <c r="E42" s="3">
        <v>26</v>
      </c>
      <c r="F42" s="3" t="s">
        <v>39</v>
      </c>
      <c r="G42" s="3" t="s">
        <v>38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>
        <v>1</v>
      </c>
      <c r="T42" s="3">
        <v>1</v>
      </c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>
        <v>39</v>
      </c>
      <c r="D43" s="3">
        <v>19</v>
      </c>
      <c r="E43" s="3">
        <v>20</v>
      </c>
      <c r="F43" s="3" t="s">
        <v>39</v>
      </c>
      <c r="G43" s="3" t="s">
        <v>39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>
        <v>2</v>
      </c>
      <c r="T43" s="3"/>
      <c r="U43" s="3"/>
      <c r="V43" s="3"/>
      <c r="W43" s="3"/>
      <c r="X43" s="3"/>
      <c r="Y43" s="3"/>
      <c r="Z43" s="3"/>
      <c r="AA43" s="3">
        <v>3</v>
      </c>
      <c r="AB43" s="3"/>
    </row>
    <row r="44" spans="1:28" x14ac:dyDescent="0.3">
      <c r="A44" s="2">
        <v>46083</v>
      </c>
      <c r="B44" s="3" t="str">
        <f t="shared" si="1"/>
        <v>Mon</v>
      </c>
      <c r="C44" s="3">
        <v>3</v>
      </c>
      <c r="D44" s="3">
        <v>2</v>
      </c>
      <c r="E44" s="3">
        <v>1</v>
      </c>
      <c r="F44" s="3" t="s">
        <v>39</v>
      </c>
      <c r="G44" s="3" t="s">
        <v>39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>
        <v>1</v>
      </c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>
        <v>15</v>
      </c>
      <c r="D45" s="3">
        <v>8</v>
      </c>
      <c r="E45" s="3">
        <v>7</v>
      </c>
      <c r="F45" s="3" t="s">
        <v>39</v>
      </c>
      <c r="G45" s="3" t="s">
        <v>39</v>
      </c>
      <c r="H45" s="3"/>
      <c r="I45" s="3"/>
      <c r="J45" s="3">
        <v>1</v>
      </c>
      <c r="K45" s="3">
        <v>2</v>
      </c>
      <c r="L45" s="3"/>
      <c r="M45" s="3"/>
      <c r="N45" s="3"/>
      <c r="O45" s="3"/>
      <c r="P45" s="3"/>
      <c r="Q45" s="3"/>
      <c r="R45" s="3"/>
      <c r="S45" s="3">
        <v>1</v>
      </c>
      <c r="T45" s="3">
        <v>1</v>
      </c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>
        <v>1</v>
      </c>
      <c r="D46" s="3">
        <v>1</v>
      </c>
      <c r="E46" s="3"/>
      <c r="F46" s="3" t="s">
        <v>39</v>
      </c>
      <c r="G46" s="3" t="s">
        <v>39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>
        <v>6</v>
      </c>
      <c r="D47" s="3">
        <v>4</v>
      </c>
      <c r="E47" s="3">
        <v>2</v>
      </c>
      <c r="F47" s="3" t="s">
        <v>39</v>
      </c>
      <c r="G47" s="3" t="s">
        <v>39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>
        <v>6</v>
      </c>
      <c r="D48" s="3">
        <v>4</v>
      </c>
      <c r="E48" s="3">
        <v>2</v>
      </c>
      <c r="F48" s="3" t="s">
        <v>39</v>
      </c>
      <c r="G48" s="3" t="s">
        <v>38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>
        <v>1</v>
      </c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>
        <v>8</v>
      </c>
      <c r="D49" s="3">
        <v>4</v>
      </c>
      <c r="E49" s="3">
        <v>4</v>
      </c>
      <c r="F49" s="3" t="s">
        <v>39</v>
      </c>
      <c r="G49" s="3" t="s">
        <v>39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>
        <v>1</v>
      </c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>
        <v>1</v>
      </c>
      <c r="D51" s="3">
        <v>1</v>
      </c>
      <c r="E51" s="3"/>
      <c r="F51" s="3" t="s">
        <v>39</v>
      </c>
      <c r="G51" s="3" t="s">
        <v>39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>
        <v>35</v>
      </c>
      <c r="D52" s="3">
        <v>18</v>
      </c>
      <c r="E52" s="3">
        <v>17</v>
      </c>
      <c r="F52" s="3" t="s">
        <v>39</v>
      </c>
      <c r="G52" s="3" t="s">
        <v>38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>
        <v>1</v>
      </c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>
        <v>33</v>
      </c>
      <c r="D55" s="3">
        <v>16</v>
      </c>
      <c r="E55" s="3">
        <v>17</v>
      </c>
      <c r="F55" s="3" t="s">
        <v>39</v>
      </c>
      <c r="G55" s="3" t="s">
        <v>38</v>
      </c>
      <c r="H55" s="3">
        <v>1</v>
      </c>
      <c r="I55" s="3"/>
      <c r="J55" s="3">
        <v>1</v>
      </c>
      <c r="K55" s="3"/>
      <c r="L55" s="3"/>
      <c r="M55" s="3"/>
      <c r="N55" s="3"/>
      <c r="O55" s="3"/>
      <c r="P55" s="3"/>
      <c r="Q55" s="3"/>
      <c r="R55" s="3"/>
      <c r="S55" s="3"/>
      <c r="T55" s="3">
        <v>1</v>
      </c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>
        <v>9</v>
      </c>
      <c r="D56" s="3">
        <v>2</v>
      </c>
      <c r="E56" s="3">
        <v>7</v>
      </c>
      <c r="F56" s="3" t="s">
        <v>39</v>
      </c>
      <c r="G56" s="3" t="s">
        <v>38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>
        <v>21</v>
      </c>
      <c r="D59" s="3">
        <v>12</v>
      </c>
      <c r="E59" s="3">
        <v>9</v>
      </c>
      <c r="F59" s="3" t="s">
        <v>39</v>
      </c>
      <c r="G59" s="3" t="s">
        <v>38</v>
      </c>
      <c r="H59" s="3">
        <v>2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>
        <v>21</v>
      </c>
      <c r="D60" s="3">
        <v>12</v>
      </c>
      <c r="E60" s="3">
        <v>9</v>
      </c>
      <c r="F60" s="3" t="s">
        <v>39</v>
      </c>
      <c r="G60" s="3" t="s">
        <v>38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>
        <v>15</v>
      </c>
      <c r="D62" s="3">
        <v>8</v>
      </c>
      <c r="E62" s="3">
        <v>7</v>
      </c>
      <c r="F62" s="3" t="s">
        <v>39</v>
      </c>
      <c r="G62" s="3" t="s">
        <v>38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>
        <v>1</v>
      </c>
      <c r="AB62" s="3"/>
    </row>
    <row r="63" spans="1:28" x14ac:dyDescent="0.3">
      <c r="A63" s="2">
        <v>46102</v>
      </c>
      <c r="B63" s="3" t="str">
        <f t="shared" si="1"/>
        <v>Sat</v>
      </c>
      <c r="C63" s="3">
        <v>14</v>
      </c>
      <c r="D63" s="3">
        <v>8</v>
      </c>
      <c r="E63" s="3">
        <v>6</v>
      </c>
      <c r="F63" s="3" t="s">
        <v>39</v>
      </c>
      <c r="G63" s="3" t="s">
        <v>38</v>
      </c>
      <c r="H63" s="3"/>
      <c r="I63" s="3"/>
      <c r="J63" s="3">
        <v>1</v>
      </c>
      <c r="K63" s="3">
        <v>1</v>
      </c>
      <c r="L63" s="3"/>
      <c r="M63" s="3"/>
      <c r="N63" s="3"/>
      <c r="O63" s="3"/>
      <c r="P63" s="3"/>
      <c r="Q63" s="3"/>
      <c r="R63" s="3"/>
      <c r="S63" s="3"/>
      <c r="T63" s="3">
        <v>1</v>
      </c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>
        <v>34</v>
      </c>
      <c r="D66" s="3">
        <v>19</v>
      </c>
      <c r="E66" s="3">
        <v>15</v>
      </c>
      <c r="F66" s="3" t="s">
        <v>39</v>
      </c>
      <c r="G66" s="3" t="s">
        <v>39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2</v>
      </c>
      <c r="U66" s="3"/>
      <c r="V66" s="3"/>
      <c r="W66" s="3"/>
      <c r="X66" s="3"/>
      <c r="Y66" s="3"/>
      <c r="Z66" s="3"/>
      <c r="AA66" s="3">
        <v>1</v>
      </c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>
        <v>2</v>
      </c>
      <c r="D68" s="3"/>
      <c r="E68" s="3">
        <v>2</v>
      </c>
      <c r="F68" s="3" t="s">
        <v>38</v>
      </c>
      <c r="G68" s="3" t="s">
        <v>38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>
        <v>16</v>
      </c>
      <c r="D70" s="3">
        <v>7</v>
      </c>
      <c r="E70" s="3">
        <v>9</v>
      </c>
      <c r="F70" s="3" t="s">
        <v>39</v>
      </c>
      <c r="G70" s="3" t="s">
        <v>39</v>
      </c>
      <c r="H70" s="3">
        <v>1</v>
      </c>
      <c r="I70" s="3"/>
      <c r="J70" s="3">
        <v>2</v>
      </c>
      <c r="K70" s="3"/>
      <c r="L70" s="3"/>
      <c r="M70" s="3"/>
      <c r="N70" s="3"/>
      <c r="O70" s="3"/>
      <c r="P70" s="3"/>
      <c r="Q70" s="3">
        <v>1</v>
      </c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>
        <v>10</v>
      </c>
      <c r="D71" s="3">
        <v>5</v>
      </c>
      <c r="E71" s="3">
        <v>5</v>
      </c>
      <c r="F71" s="3" t="s">
        <v>39</v>
      </c>
      <c r="G71" s="3" t="s">
        <v>38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>
        <v>11</v>
      </c>
      <c r="D73" s="3">
        <v>7</v>
      </c>
      <c r="E73" s="3">
        <v>4</v>
      </c>
      <c r="F73" s="3" t="s">
        <v>39</v>
      </c>
      <c r="G73" s="3" t="s">
        <v>39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>
        <v>4</v>
      </c>
      <c r="D74" s="3">
        <v>3</v>
      </c>
      <c r="E74" s="3">
        <v>1</v>
      </c>
      <c r="F74" s="3" t="s">
        <v>39</v>
      </c>
      <c r="G74" s="3" t="s">
        <v>39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>
        <v>25</v>
      </c>
      <c r="D77" s="3">
        <v>11</v>
      </c>
      <c r="E77" s="3">
        <v>14</v>
      </c>
      <c r="F77" s="3" t="s">
        <v>38</v>
      </c>
      <c r="G77" s="3" t="s">
        <v>39</v>
      </c>
      <c r="H77" s="3"/>
      <c r="I77" s="3"/>
      <c r="J77" s="3">
        <v>4</v>
      </c>
      <c r="K77" s="3"/>
      <c r="L77" s="3"/>
      <c r="M77" s="3"/>
      <c r="N77" s="3"/>
      <c r="O77" s="3"/>
      <c r="P77" s="3"/>
      <c r="Q77" s="3">
        <v>1</v>
      </c>
      <c r="R77" s="3"/>
      <c r="S77" s="3"/>
      <c r="T77" s="3"/>
      <c r="U77" s="3"/>
      <c r="V77" s="3"/>
      <c r="W77" s="3"/>
      <c r="X77" s="3"/>
      <c r="Y77" s="3">
        <v>1</v>
      </c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>
        <v>15</v>
      </c>
      <c r="D78" s="3">
        <v>7</v>
      </c>
      <c r="E78" s="3">
        <v>8</v>
      </c>
      <c r="F78" s="3" t="s">
        <v>39</v>
      </c>
      <c r="G78" s="3" t="s">
        <v>38</v>
      </c>
      <c r="H78" s="3"/>
      <c r="I78" s="3"/>
      <c r="J78" s="3">
        <v>1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>
        <v>16</v>
      </c>
      <c r="D79" s="3">
        <v>9</v>
      </c>
      <c r="E79" s="3">
        <v>7</v>
      </c>
      <c r="F79" s="3" t="s">
        <v>39</v>
      </c>
      <c r="G79" s="3" t="s">
        <v>38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>
        <v>8</v>
      </c>
      <c r="D80" s="3">
        <v>5</v>
      </c>
      <c r="E80" s="3">
        <v>3</v>
      </c>
      <c r="F80" s="3" t="s">
        <v>39</v>
      </c>
      <c r="G80" s="3" t="s">
        <v>39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>
        <v>1</v>
      </c>
      <c r="AB80" s="3"/>
    </row>
    <row r="81" spans="1:28" x14ac:dyDescent="0.3">
      <c r="A81" s="2">
        <v>46120</v>
      </c>
      <c r="B81" s="3" t="str">
        <f t="shared" si="2"/>
        <v>Wed</v>
      </c>
      <c r="C81" s="3">
        <v>10</v>
      </c>
      <c r="D81" s="3">
        <v>7</v>
      </c>
      <c r="E81" s="3">
        <v>3</v>
      </c>
      <c r="F81" s="3" t="s">
        <v>39</v>
      </c>
      <c r="G81" s="3" t="s">
        <v>38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>
        <v>26</v>
      </c>
      <c r="D83" s="3">
        <v>12</v>
      </c>
      <c r="E83" s="3">
        <v>14</v>
      </c>
      <c r="F83" s="3" t="s">
        <v>39</v>
      </c>
      <c r="G83" s="3" t="s">
        <v>38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>
        <v>9</v>
      </c>
      <c r="D85" s="3">
        <v>4</v>
      </c>
      <c r="E85" s="3">
        <v>5</v>
      </c>
      <c r="F85" s="3" t="s">
        <v>39</v>
      </c>
      <c r="G85" s="3" t="s">
        <v>38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>
        <v>4</v>
      </c>
      <c r="D86" s="3">
        <v>1</v>
      </c>
      <c r="E86" s="3">
        <v>3</v>
      </c>
      <c r="F86" s="3" t="s">
        <v>38</v>
      </c>
      <c r="G86" s="3" t="s">
        <v>39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>
        <v>19</v>
      </c>
      <c r="D87" s="3">
        <v>9</v>
      </c>
      <c r="E87" s="3">
        <v>10</v>
      </c>
      <c r="F87" s="3" t="s">
        <v>38</v>
      </c>
      <c r="G87" s="3" t="s">
        <v>38</v>
      </c>
      <c r="H87" s="3"/>
      <c r="I87" s="3"/>
      <c r="J87" s="3"/>
      <c r="K87" s="3"/>
      <c r="L87" s="3"/>
      <c r="M87" s="3"/>
      <c r="N87" s="3">
        <v>2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>
        <v>1</v>
      </c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>
        <v>2</v>
      </c>
      <c r="D88" s="3">
        <v>1</v>
      </c>
      <c r="E88" s="3">
        <v>1</v>
      </c>
      <c r="F88" s="3" t="s">
        <v>39</v>
      </c>
      <c r="G88" s="3" t="s">
        <v>38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>
        <v>2</v>
      </c>
      <c r="D89" s="3">
        <v>1</v>
      </c>
      <c r="E89" s="3">
        <v>1</v>
      </c>
      <c r="F89" s="3" t="s">
        <v>39</v>
      </c>
      <c r="G89" s="3" t="s">
        <v>38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>
        <v>5</v>
      </c>
      <c r="D90" s="3">
        <v>1</v>
      </c>
      <c r="E90" s="3">
        <v>4</v>
      </c>
      <c r="F90" s="3" t="s">
        <v>39</v>
      </c>
      <c r="G90" s="3" t="s">
        <v>38</v>
      </c>
      <c r="H90" s="3"/>
      <c r="I90" s="3"/>
      <c r="J90" s="3">
        <v>1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>
        <v>9</v>
      </c>
      <c r="D92" s="3">
        <v>5</v>
      </c>
      <c r="E92" s="3">
        <v>4</v>
      </c>
      <c r="F92" s="3" t="s">
        <v>38</v>
      </c>
      <c r="G92" s="3" t="s">
        <v>38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>
        <v>4</v>
      </c>
      <c r="D93" s="3">
        <v>3</v>
      </c>
      <c r="E93" s="3">
        <v>1</v>
      </c>
      <c r="F93" s="3" t="s">
        <v>39</v>
      </c>
      <c r="G93" s="3" t="s">
        <v>39</v>
      </c>
      <c r="H93" s="3">
        <v>1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>
        <v>12</v>
      </c>
      <c r="D94" s="3">
        <v>4</v>
      </c>
      <c r="E94" s="3">
        <v>8</v>
      </c>
      <c r="F94" s="3" t="s">
        <v>38</v>
      </c>
      <c r="G94" s="3" t="s">
        <v>38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>
        <v>2</v>
      </c>
      <c r="D95" s="3">
        <v>2</v>
      </c>
      <c r="E95" s="3"/>
      <c r="F95" s="3" t="s">
        <v>39</v>
      </c>
      <c r="G95" s="3" t="s">
        <v>39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>
        <v>1</v>
      </c>
      <c r="AB95" s="3"/>
    </row>
    <row r="96" spans="1:28" x14ac:dyDescent="0.3">
      <c r="A96" s="2">
        <v>46135</v>
      </c>
      <c r="B96" s="3" t="str">
        <f t="shared" si="2"/>
        <v>Thu</v>
      </c>
      <c r="C96" s="3">
        <v>3</v>
      </c>
      <c r="D96" s="3">
        <v>1</v>
      </c>
      <c r="E96" s="3">
        <v>2</v>
      </c>
      <c r="F96" s="3" t="s">
        <v>39</v>
      </c>
      <c r="G96" s="3" t="s">
        <v>38</v>
      </c>
      <c r="H96" s="3"/>
      <c r="I96" s="3"/>
      <c r="J96" s="3">
        <v>1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>
        <v>135</v>
      </c>
      <c r="D97" s="3">
        <v>75</v>
      </c>
      <c r="E97" s="3">
        <v>60</v>
      </c>
      <c r="F97" s="3" t="s">
        <v>39</v>
      </c>
      <c r="G97" s="3" t="s">
        <v>38</v>
      </c>
      <c r="H97" s="3"/>
      <c r="I97" s="3"/>
      <c r="J97" s="3"/>
      <c r="K97" s="3"/>
      <c r="L97" s="3"/>
      <c r="M97" s="3"/>
      <c r="N97" s="3"/>
      <c r="O97" s="3"/>
      <c r="P97" s="3"/>
      <c r="Q97" s="3">
        <v>1</v>
      </c>
      <c r="R97" s="3"/>
      <c r="S97" s="3"/>
      <c r="T97" s="3">
        <v>2</v>
      </c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>
        <v>2</v>
      </c>
      <c r="D98" s="3">
        <v>1</v>
      </c>
      <c r="E98" s="3">
        <v>1</v>
      </c>
      <c r="F98" s="3" t="s">
        <v>39</v>
      </c>
      <c r="G98" s="3" t="s">
        <v>38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>
        <v>16</v>
      </c>
      <c r="D99" s="3">
        <v>6</v>
      </c>
      <c r="E99" s="3">
        <v>10</v>
      </c>
      <c r="F99" s="3" t="s">
        <v>39</v>
      </c>
      <c r="G99" s="3" t="s">
        <v>38</v>
      </c>
      <c r="H99" s="3"/>
      <c r="I99" s="3"/>
      <c r="J99" s="3">
        <v>2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>
        <v>37</v>
      </c>
      <c r="D100" s="3">
        <v>26</v>
      </c>
      <c r="E100" s="3">
        <v>11</v>
      </c>
      <c r="F100" s="3" t="s">
        <v>39</v>
      </c>
      <c r="G100" s="3" t="s">
        <v>38</v>
      </c>
      <c r="H100" s="3">
        <v>1</v>
      </c>
      <c r="I100" s="3"/>
      <c r="J100" s="3"/>
      <c r="K100" s="3"/>
      <c r="L100" s="3">
        <v>1</v>
      </c>
      <c r="M100" s="3"/>
      <c r="N100" s="3"/>
      <c r="O100" s="3"/>
      <c r="P100" s="3"/>
      <c r="Q100" s="3"/>
      <c r="R100" s="3"/>
      <c r="S100" s="3">
        <v>1</v>
      </c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>
        <v>11</v>
      </c>
      <c r="D102" s="3">
        <v>8</v>
      </c>
      <c r="E102" s="3">
        <v>3</v>
      </c>
      <c r="F102" s="3" t="s">
        <v>39</v>
      </c>
      <c r="G102" s="3" t="s">
        <v>38</v>
      </c>
      <c r="H102" s="3"/>
      <c r="I102" s="3"/>
      <c r="J102" s="3"/>
      <c r="K102" s="3"/>
      <c r="L102" s="3"/>
      <c r="M102" s="3"/>
      <c r="N102" s="3"/>
      <c r="O102" s="3"/>
      <c r="P102" s="3"/>
      <c r="Q102" s="3">
        <v>1</v>
      </c>
      <c r="R102" s="3"/>
      <c r="S102" s="3">
        <v>2</v>
      </c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>
        <v>4</v>
      </c>
      <c r="D103" s="3">
        <v>3</v>
      </c>
      <c r="E103" s="3">
        <v>1</v>
      </c>
      <c r="F103" s="3" t="s">
        <v>39</v>
      </c>
      <c r="G103" s="3" t="s">
        <v>38</v>
      </c>
      <c r="H103" s="3"/>
      <c r="I103" s="3">
        <v>1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>
        <v>39</v>
      </c>
      <c r="D104" s="3">
        <v>21</v>
      </c>
      <c r="E104" s="3">
        <v>18</v>
      </c>
      <c r="F104" s="3" t="s">
        <v>39</v>
      </c>
      <c r="G104" s="3" t="s">
        <v>39</v>
      </c>
      <c r="H104" s="3"/>
      <c r="I104" s="3"/>
      <c r="J104" s="3"/>
      <c r="K104" s="3">
        <v>2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>
        <v>1</v>
      </c>
      <c r="AB104" s="3"/>
    </row>
    <row r="105" spans="1:28" x14ac:dyDescent="0.3">
      <c r="A105" s="2">
        <v>46144</v>
      </c>
      <c r="B105" s="3" t="str">
        <f t="shared" si="3"/>
        <v>Sat</v>
      </c>
      <c r="C105" s="3">
        <v>28</v>
      </c>
      <c r="D105" s="3">
        <v>17</v>
      </c>
      <c r="E105" s="3">
        <v>11</v>
      </c>
      <c r="F105" s="3" t="s">
        <v>38</v>
      </c>
      <c r="G105" s="3" t="s">
        <v>39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>
        <v>2</v>
      </c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>
        <v>14</v>
      </c>
      <c r="D107" s="3">
        <v>10</v>
      </c>
      <c r="E107" s="3">
        <v>4</v>
      </c>
      <c r="F107" s="3" t="s">
        <v>39</v>
      </c>
      <c r="G107" s="3" t="s">
        <v>39</v>
      </c>
      <c r="H107" s="3">
        <v>1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>
        <v>6</v>
      </c>
      <c r="D108" s="3">
        <v>4</v>
      </c>
      <c r="E108" s="3">
        <v>2</v>
      </c>
      <c r="F108" s="3" t="s">
        <v>38</v>
      </c>
      <c r="G108" s="3" t="s">
        <v>38</v>
      </c>
      <c r="H108" s="3"/>
      <c r="I108" s="3"/>
      <c r="J108" s="3"/>
      <c r="K108" s="3"/>
      <c r="L108" s="3">
        <v>1</v>
      </c>
      <c r="M108" s="3"/>
      <c r="N108" s="3"/>
      <c r="O108" s="3"/>
      <c r="P108" s="3"/>
      <c r="Q108" s="3">
        <v>1</v>
      </c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>
        <v>5</v>
      </c>
      <c r="D109" s="3">
        <v>2</v>
      </c>
      <c r="E109" s="3">
        <v>3</v>
      </c>
      <c r="F109" s="3" t="s">
        <v>38</v>
      </c>
      <c r="G109" s="3" t="s">
        <v>38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>
        <v>1</v>
      </c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>
        <v>9</v>
      </c>
      <c r="D110" s="3">
        <v>4</v>
      </c>
      <c r="E110" s="3">
        <v>5</v>
      </c>
      <c r="F110" s="3" t="s">
        <v>39</v>
      </c>
      <c r="G110" s="3" t="s">
        <v>38</v>
      </c>
      <c r="H110" s="3"/>
      <c r="I110" s="3"/>
      <c r="J110" s="3"/>
      <c r="K110" s="3"/>
      <c r="L110" s="3"/>
      <c r="M110" s="3">
        <v>1</v>
      </c>
      <c r="N110" s="3"/>
      <c r="O110" s="3"/>
      <c r="P110" s="3">
        <v>0.27</v>
      </c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>
        <v>14</v>
      </c>
      <c r="D111" s="3">
        <v>7</v>
      </c>
      <c r="E111" s="3">
        <v>7</v>
      </c>
      <c r="F111" s="3" t="s">
        <v>39</v>
      </c>
      <c r="G111" s="3" t="s">
        <v>38</v>
      </c>
      <c r="H111" s="3"/>
      <c r="I111" s="3"/>
      <c r="J111" s="3"/>
      <c r="K111" s="3"/>
      <c r="L111" s="3"/>
      <c r="M111" s="3"/>
      <c r="N111" s="3"/>
      <c r="O111" s="3"/>
      <c r="P111" s="3"/>
      <c r="Q111" s="3">
        <v>1</v>
      </c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84</v>
      </c>
      <c r="C3" s="5"/>
    </row>
    <row r="4" spans="1:3" x14ac:dyDescent="0.3">
      <c r="A4" s="5" t="s">
        <v>31</v>
      </c>
      <c r="B4" s="5">
        <f>COUNTIF('WhatsApp Data'!F2:F111,"Me")</f>
        <v>69</v>
      </c>
      <c r="C4" s="5"/>
    </row>
    <row r="5" spans="1:3" x14ac:dyDescent="0.3">
      <c r="A5" s="5" t="s">
        <v>32</v>
      </c>
      <c r="B5" s="5">
        <f>COUNTIF('WhatsApp Data'!F2:F111,"You")</f>
        <v>15</v>
      </c>
      <c r="C5" s="5"/>
    </row>
    <row r="6" spans="1:3" x14ac:dyDescent="0.3">
      <c r="A6" s="5" t="s">
        <v>33</v>
      </c>
      <c r="B6" s="5">
        <f>COUNTIF('WhatsApp Data'!G2:G111,"Me")</f>
        <v>32</v>
      </c>
      <c r="C6" s="5"/>
    </row>
    <row r="7" spans="1:3" x14ac:dyDescent="0.3">
      <c r="A7" s="5" t="s">
        <v>34</v>
      </c>
      <c r="B7" s="5">
        <f>COUNTIF('WhatsApp Data'!G2:G111,"You")</f>
        <v>52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1457</v>
      </c>
      <c r="C10" s="6">
        <f t="shared" ref="C10:C33" si="0">IFERROR(B10/$B$2,0)</f>
        <v>13.245454545454546</v>
      </c>
    </row>
    <row r="11" spans="1:3" x14ac:dyDescent="0.3">
      <c r="A11" s="5" t="s">
        <v>3</v>
      </c>
      <c r="B11" s="5">
        <f>SUM('WhatsApp Data'!D2:D111)</f>
        <v>777</v>
      </c>
      <c r="C11" s="6">
        <f t="shared" si="0"/>
        <v>7.0636363636363635</v>
      </c>
    </row>
    <row r="12" spans="1:3" x14ac:dyDescent="0.3">
      <c r="A12" s="5" t="s">
        <v>4</v>
      </c>
      <c r="B12" s="5">
        <f>SUM('WhatsApp Data'!E2:E111)</f>
        <v>680</v>
      </c>
      <c r="C12" s="6">
        <f t="shared" si="0"/>
        <v>6.1818181818181817</v>
      </c>
    </row>
    <row r="13" spans="1:3" x14ac:dyDescent="0.3">
      <c r="A13" s="5" t="s">
        <v>7</v>
      </c>
      <c r="B13" s="5">
        <f>SUM('WhatsApp Data'!H2:H111)</f>
        <v>8</v>
      </c>
      <c r="C13" s="6">
        <f t="shared" si="0"/>
        <v>7.2727272727272724E-2</v>
      </c>
    </row>
    <row r="14" spans="1:3" x14ac:dyDescent="0.3">
      <c r="A14" s="5" t="s">
        <v>8</v>
      </c>
      <c r="B14" s="5">
        <f>SUM('WhatsApp Data'!I2:I111)</f>
        <v>4</v>
      </c>
      <c r="C14" s="6">
        <f t="shared" si="0"/>
        <v>3.6363636363636362E-2</v>
      </c>
    </row>
    <row r="15" spans="1:3" x14ac:dyDescent="0.3">
      <c r="A15" s="5" t="s">
        <v>9</v>
      </c>
      <c r="B15" s="5">
        <f>SUM('WhatsApp Data'!J2:J111)</f>
        <v>17</v>
      </c>
      <c r="C15" s="6">
        <f t="shared" si="0"/>
        <v>0.15454545454545454</v>
      </c>
    </row>
    <row r="16" spans="1:3" x14ac:dyDescent="0.3">
      <c r="A16" s="5" t="s">
        <v>10</v>
      </c>
      <c r="B16" s="5">
        <f>SUM('WhatsApp Data'!K2:K111)</f>
        <v>5</v>
      </c>
      <c r="C16" s="6">
        <f t="shared" si="0"/>
        <v>4.5454545454545456E-2</v>
      </c>
    </row>
    <row r="17" spans="1:3" x14ac:dyDescent="0.3">
      <c r="A17" s="5" t="s">
        <v>11</v>
      </c>
      <c r="B17" s="5">
        <f>SUM('WhatsApp Data'!L2:L111)</f>
        <v>2</v>
      </c>
      <c r="C17" s="6">
        <f t="shared" si="0"/>
        <v>1.8181818181818181E-2</v>
      </c>
    </row>
    <row r="18" spans="1:3" x14ac:dyDescent="0.3">
      <c r="A18" s="5" t="s">
        <v>12</v>
      </c>
      <c r="B18" s="5">
        <f>SUM('WhatsApp Data'!M2:M111)</f>
        <v>2</v>
      </c>
      <c r="C18" s="6">
        <f t="shared" si="0"/>
        <v>1.8181818181818181E-2</v>
      </c>
    </row>
    <row r="19" spans="1:3" x14ac:dyDescent="0.3">
      <c r="A19" s="5" t="s">
        <v>13</v>
      </c>
      <c r="B19" s="5">
        <f>SUM('WhatsApp Data'!N2:N111)</f>
        <v>7</v>
      </c>
      <c r="C19" s="6">
        <f t="shared" si="0"/>
        <v>6.363636363636363E-2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0.64</v>
      </c>
      <c r="C21" s="6">
        <f t="shared" si="0"/>
        <v>5.8181818181818187E-3</v>
      </c>
    </row>
    <row r="22" spans="1:3" x14ac:dyDescent="0.3">
      <c r="A22" s="5" t="s">
        <v>16</v>
      </c>
      <c r="B22" s="5">
        <f>SUM('WhatsApp Data'!Q2:Q111)</f>
        <v>7</v>
      </c>
      <c r="C22" s="6">
        <f t="shared" si="0"/>
        <v>6.363636363636363E-2</v>
      </c>
    </row>
    <row r="23" spans="1:3" x14ac:dyDescent="0.3">
      <c r="A23" s="5" t="s">
        <v>17</v>
      </c>
      <c r="B23" s="5">
        <f>SUM('WhatsApp Data'!R2:R111)</f>
        <v>3</v>
      </c>
      <c r="C23" s="6">
        <f t="shared" si="0"/>
        <v>2.7272727272727271E-2</v>
      </c>
    </row>
    <row r="24" spans="1:3" x14ac:dyDescent="0.3">
      <c r="A24" s="5" t="s">
        <v>18</v>
      </c>
      <c r="B24" s="5">
        <f>SUM('WhatsApp Data'!S2:S111)</f>
        <v>37</v>
      </c>
      <c r="C24" s="6">
        <f t="shared" si="0"/>
        <v>0.33636363636363636</v>
      </c>
    </row>
    <row r="25" spans="1:3" x14ac:dyDescent="0.3">
      <c r="A25" s="5" t="s">
        <v>19</v>
      </c>
      <c r="B25" s="5">
        <f>SUM('WhatsApp Data'!T2:T111)</f>
        <v>22</v>
      </c>
      <c r="C25" s="6">
        <f t="shared" si="0"/>
        <v>0.2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1</v>
      </c>
      <c r="C28" s="6">
        <f t="shared" si="0"/>
        <v>9.0909090909090905E-3</v>
      </c>
    </row>
    <row r="29" spans="1:3" x14ac:dyDescent="0.3">
      <c r="A29" s="5" t="s">
        <v>23</v>
      </c>
      <c r="B29" s="5">
        <f>SUM('WhatsApp Data'!X2:X111)</f>
        <v>2</v>
      </c>
      <c r="C29" s="6">
        <f t="shared" si="0"/>
        <v>1.8181818181818181E-2</v>
      </c>
    </row>
    <row r="30" spans="1:3" x14ac:dyDescent="0.3">
      <c r="A30" s="5" t="s">
        <v>24</v>
      </c>
      <c r="B30" s="5">
        <f>SUM('WhatsApp Data'!Y2:Y111)</f>
        <v>2</v>
      </c>
      <c r="C30" s="6">
        <f t="shared" si="0"/>
        <v>1.8181818181818181E-2</v>
      </c>
    </row>
    <row r="31" spans="1:3" x14ac:dyDescent="0.3">
      <c r="A31" s="5" t="s">
        <v>25</v>
      </c>
      <c r="B31" s="5">
        <f>SUM('WhatsApp Data'!Z2:Z111)</f>
        <v>2</v>
      </c>
      <c r="C31" s="6">
        <f t="shared" si="0"/>
        <v>1.8181818181818181E-2</v>
      </c>
    </row>
    <row r="32" spans="1:3" x14ac:dyDescent="0.3">
      <c r="A32" s="5" t="s">
        <v>26</v>
      </c>
      <c r="B32" s="5">
        <f>SUM('WhatsApp Data'!AA2:AA111)</f>
        <v>14</v>
      </c>
      <c r="C32" s="6">
        <f t="shared" si="0"/>
        <v>0.12727272727272726</v>
      </c>
    </row>
    <row r="33" spans="1:3" x14ac:dyDescent="0.3">
      <c r="A33" s="5" t="s">
        <v>27</v>
      </c>
      <c r="B33" s="5">
        <f>SUM('WhatsApp Data'!AB2:AB111)</f>
        <v>2</v>
      </c>
      <c r="C33" s="6">
        <f t="shared" si="0"/>
        <v>1.8181818181818181E-2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2026-10-22T20:15:26Z</dcterms:modified>
  <dc:language>en-US</dc:language>
</cp:coreProperties>
</file>