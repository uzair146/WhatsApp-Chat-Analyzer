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0D537754-127E-4E51-B07D-EA3BD0EAD3D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<sst xmlns="http://schemas.openxmlformats.org/spreadsheetml/2006/main" count="88" uniqueCount="40">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</sst>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Q51" activePane="bottomRight" state="frozen"/>
      <selection pane="topRight" activeCell="C1" sqref="C1"/>
      <selection pane="bottomLeft" activeCell="A2" sqref="A2"/>
      <selection pane="bottomRight" activeCell="AB79" sqref="AB79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3</v>
      </c>
      <c r="D7" s="3">
        <v>2</v>
      </c>
      <c r="E7" s="3">
        <v>1</v>
      </c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3</v>
      </c>
      <c r="D25" s="3">
        <v>2</v>
      </c>
      <c r="E25" s="3">
        <v>1</v>
      </c>
      <c r="F25" s="3" t="s">
        <v>38</v>
      </c>
      <c r="G25" s="3" t="s">
        <v>39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>
        <v>1</v>
      </c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</v>
      </c>
      <c r="D26" s="3">
        <v>1</v>
      </c>
      <c r="E26" s="3"/>
      <c r="F26" s="3" t="s">
        <v>38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>
        <v>22</v>
      </c>
      <c r="D32" s="3">
        <v>12</v>
      </c>
      <c r="E32" s="3">
        <v>10</v>
      </c>
      <c r="F32" s="3" t="s">
        <v>39</v>
      </c>
      <c r="G32" s="3" t="s">
        <v>38</v>
      </c>
      <c r="H32" s="3">
        <v>1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</v>
      </c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2</v>
      </c>
      <c r="D33" s="3">
        <v>1</v>
      </c>
      <c r="E33" s="3">
        <v>1</v>
      </c>
      <c r="F33" s="3" t="s">
        <v>38</v>
      </c>
      <c r="G33" s="3" t="s">
        <v>39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>
        <v>1</v>
      </c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5</v>
      </c>
      <c r="D40" s="3">
        <v>3</v>
      </c>
      <c r="E40" s="3">
        <v>2</v>
      </c>
      <c r="F40" s="3" t="s">
        <v>38</v>
      </c>
      <c r="G40" s="3" t="s">
        <v>38</v>
      </c>
      <c r="H40" s="3"/>
      <c r="I40" s="3"/>
      <c r="J40" s="3"/>
      <c r="K40" s="3">
        <v>1</v>
      </c>
      <c r="L40" s="3"/>
      <c r="M40" s="3"/>
      <c r="N40" s="3"/>
      <c r="O40" s="3"/>
      <c r="P40" s="3"/>
      <c r="Q40" s="3"/>
      <c r="R40" s="3"/>
      <c r="S40" s="3"/>
      <c r="T40" s="3">
        <v>1</v>
      </c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11</v>
      </c>
      <c r="D44" s="3">
        <v>7</v>
      </c>
      <c r="E44" s="3">
        <v>4</v>
      </c>
      <c r="F44" s="3" t="s">
        <v>39</v>
      </c>
      <c r="G44" s="3" t="s">
        <v>39</v>
      </c>
      <c r="H44" s="3">
        <v>1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1</v>
      </c>
      <c r="D45" s="3">
        <v>1</v>
      </c>
      <c r="E45" s="3"/>
      <c r="F45" s="3" t="s">
        <v>38</v>
      </c>
      <c r="G45" s="3" t="s">
        <v>38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1</v>
      </c>
      <c r="D49" s="3">
        <v>1</v>
      </c>
      <c r="E49" s="3"/>
      <c r="F49" s="3" t="s">
        <v>38</v>
      </c>
      <c r="G49" s="3" t="s">
        <v>38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>
        <v>4</v>
      </c>
      <c r="D50" s="3">
        <v>2</v>
      </c>
      <c r="E50" s="3">
        <v>2</v>
      </c>
      <c r="F50" s="3" t="s">
        <v>39</v>
      </c>
      <c r="G50" s="3" t="s">
        <v>39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1</v>
      </c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7</v>
      </c>
      <c r="D54" s="3">
        <v>5</v>
      </c>
      <c r="E54" s="3">
        <v>2</v>
      </c>
      <c r="F54" s="3" t="s">
        <v>38</v>
      </c>
      <c r="G54" s="3" t="s">
        <v>39</v>
      </c>
      <c r="H54" s="3"/>
      <c r="I54" s="3"/>
      <c r="J54" s="3"/>
      <c r="K54" s="3"/>
      <c r="L54" s="3"/>
      <c r="M54" s="3"/>
      <c r="N54" s="3"/>
      <c r="O54" s="3"/>
      <c r="P54" s="3"/>
      <c r="Q54" s="3">
        <v>1</v>
      </c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>
        <v>20</v>
      </c>
      <c r="D78" s="3">
        <v>9</v>
      </c>
      <c r="E78" s="3">
        <v>11</v>
      </c>
      <c r="F78" s="3" t="s">
        <v>39</v>
      </c>
      <c r="G78" s="3" t="s">
        <v>38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>
        <v>1</v>
      </c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21</v>
      </c>
      <c r="D79" s="3">
        <v>15</v>
      </c>
      <c r="E79" s="3">
        <v>6</v>
      </c>
      <c r="F79" s="3" t="s">
        <v>38</v>
      </c>
      <c r="G79" s="3" t="s">
        <v>38</v>
      </c>
      <c r="H79" s="3">
        <v>1</v>
      </c>
      <c r="I79" s="3">
        <v>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1</v>
      </c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13</v>
      </c>
      <c r="C3" s="5"/>
    </row>
    <row r="4" spans="1:3" x14ac:dyDescent="0.3">
      <c r="A4" s="5" t="s">
        <v>31</v>
      </c>
      <c r="B4" s="5">
        <f>COUNTIF('WhatsApp Data'!F2:F111,"Me")</f>
        <v>9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8</v>
      </c>
      <c r="C6" s="5"/>
    </row>
    <row r="7" spans="1:3" x14ac:dyDescent="0.3">
      <c r="A7" s="5" t="s">
        <v>34</v>
      </c>
      <c r="B7" s="5">
        <f>COUNTIF('WhatsApp Data'!G2:G111,"You")</f>
        <v>5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101</v>
      </c>
      <c r="C10" s="6">
        <f t="shared" ref="C10:C33" si="0">IFERROR(B10/$B$2,0)</f>
        <v>0.91818181818181821</v>
      </c>
    </row>
    <row r="11" spans="1:3" x14ac:dyDescent="0.3">
      <c r="A11" s="5" t="s">
        <v>3</v>
      </c>
      <c r="B11" s="5">
        <f>SUM('WhatsApp Data'!D2:D111)</f>
        <v>61</v>
      </c>
      <c r="C11" s="6">
        <f t="shared" si="0"/>
        <v>0.55454545454545456</v>
      </c>
    </row>
    <row r="12" spans="1:3" x14ac:dyDescent="0.3">
      <c r="A12" s="5" t="s">
        <v>4</v>
      </c>
      <c r="B12" s="5">
        <f>SUM('WhatsApp Data'!E2:E111)</f>
        <v>40</v>
      </c>
      <c r="C12" s="6">
        <f t="shared" si="0"/>
        <v>0.36363636363636365</v>
      </c>
    </row>
    <row r="13" spans="1:3" x14ac:dyDescent="0.3">
      <c r="A13" s="5" t="s">
        <v>7</v>
      </c>
      <c r="B13" s="5">
        <f>SUM('WhatsApp Data'!H2:H111)</f>
        <v>3</v>
      </c>
      <c r="C13" s="6">
        <f t="shared" si="0"/>
        <v>2.7272727272727271E-2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1</v>
      </c>
      <c r="C16" s="6">
        <f t="shared" si="0"/>
        <v>9.0909090909090905E-3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1</v>
      </c>
      <c r="C22" s="6">
        <f t="shared" si="0"/>
        <v>9.0909090909090905E-3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2</v>
      </c>
      <c r="C24" s="6">
        <f t="shared" si="0"/>
        <v>1.8181818181818181E-2</v>
      </c>
    </row>
    <row r="25" spans="1:3" x14ac:dyDescent="0.3">
      <c r="A25" s="5" t="s">
        <v>19</v>
      </c>
      <c r="B25" s="5">
        <f>SUM('WhatsApp Data'!T2:T111)</f>
        <v>5</v>
      </c>
      <c r="C25" s="6">
        <f t="shared" si="0"/>
        <v>4.5454545454545456E-2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1</v>
      </c>
      <c r="C30" s="6">
        <f t="shared" si="0"/>
        <v>9.0909090909090905E-3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2</v>
      </c>
      <c r="C33" s="6">
        <f t="shared" si="0"/>
        <v>1.8181818181818181E-2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2026-10-04T13:38:46Z</dcterms:modified>
  <dc:language>en-US</dc:language>
</cp:coreProperties>
</file>