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F8CEC7F-BE4D-4855-AAAD-E3CEAE24D2C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<sst xmlns="http://schemas.openxmlformats.org/spreadsheetml/2006/main" count="88" uniqueCount="40">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</sst>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0" activePane="bottomRight" state="frozen"/>
      <selection pane="topRight" activeCell="C1" sqref="C1"/>
      <selection pane="bottomLeft" activeCell="A2" sqref="A2"/>
      <selection pane="bottomRight" activeCell="N89" sqref="N8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10</v>
      </c>
      <c r="D8" s="3">
        <v>6</v>
      </c>
      <c r="E8" s="3">
        <v>4</v>
      </c>
      <c r="F8" s="3" t="s">
        <v>39</v>
      </c>
      <c r="G8" s="3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1</v>
      </c>
      <c r="U8" s="3"/>
      <c r="V8" s="3"/>
      <c r="W8" s="3"/>
      <c r="X8" s="3">
        <v>1</v>
      </c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1</v>
      </c>
      <c r="D30" s="3">
        <v>1</v>
      </c>
      <c r="E30" s="3"/>
      <c r="F30" s="3" t="s">
        <v>38</v>
      </c>
      <c r="G30" s="3" t="s">
        <v>38</v>
      </c>
      <c r="H30" s="3"/>
      <c r="I30" s="3"/>
      <c r="J30" s="3"/>
      <c r="K30" s="3"/>
      <c r="L30" s="3"/>
      <c r="M30" s="3">
        <v>1</v>
      </c>
      <c r="N30" s="3"/>
      <c r="O30" s="3"/>
      <c r="P30" s="3">
        <v>0.56999999999999995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35</v>
      </c>
      <c r="D32" s="3">
        <v>22</v>
      </c>
      <c r="E32" s="3">
        <v>13</v>
      </c>
      <c r="F32" s="3" t="s">
        <v>39</v>
      </c>
      <c r="G32" s="3" t="s">
        <v>38</v>
      </c>
      <c r="H32" s="3">
        <v>1</v>
      </c>
      <c r="I32" s="3"/>
      <c r="J32" s="3"/>
      <c r="K32" s="3">
        <v>2</v>
      </c>
      <c r="L32" s="3"/>
      <c r="M32" s="3"/>
      <c r="N32" s="3">
        <v>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3</v>
      </c>
      <c r="D40" s="3">
        <v>2</v>
      </c>
      <c r="E40" s="3">
        <v>1</v>
      </c>
      <c r="F40" s="3" t="s">
        <v>38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12</v>
      </c>
      <c r="D42" s="3">
        <v>7</v>
      </c>
      <c r="E42" s="3">
        <v>5</v>
      </c>
      <c r="F42" s="3" t="s">
        <v>39</v>
      </c>
      <c r="G42" s="3" t="s">
        <v>38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1</v>
      </c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15</v>
      </c>
      <c r="D44" s="3">
        <v>6</v>
      </c>
      <c r="E44" s="3">
        <v>9</v>
      </c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5</v>
      </c>
      <c r="D49" s="3">
        <v>3</v>
      </c>
      <c r="E49" s="3">
        <v>2</v>
      </c>
      <c r="F49" s="3" t="s">
        <v>38</v>
      </c>
      <c r="G49" s="3" t="s">
        <v>38</v>
      </c>
      <c r="H49" s="3"/>
      <c r="I49" s="3">
        <v>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42</v>
      </c>
      <c r="D54" s="3">
        <v>22</v>
      </c>
      <c r="E54" s="3">
        <v>20</v>
      </c>
      <c r="F54" s="3" t="s">
        <v>38</v>
      </c>
      <c r="G54" s="3" t="s">
        <v>39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>
        <v>1</v>
      </c>
      <c r="T54" s="3">
        <v>1</v>
      </c>
      <c r="U54" s="3"/>
      <c r="V54" s="3"/>
      <c r="W54" s="3">
        <v>1</v>
      </c>
      <c r="X54" s="3">
        <v>2</v>
      </c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>
        <v>2</v>
      </c>
      <c r="D61" s="3">
        <v>1</v>
      </c>
      <c r="E61" s="3">
        <v>1</v>
      </c>
      <c r="F61" s="3" t="s">
        <v>39</v>
      </c>
      <c r="G61" s="3" t="s">
        <v>38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4</v>
      </c>
      <c r="D73" s="3">
        <v>2</v>
      </c>
      <c r="E73" s="3">
        <v>2</v>
      </c>
      <c r="F73" s="3" t="s">
        <v>39</v>
      </c>
      <c r="G73" s="3" t="s">
        <v>38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1</v>
      </c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16</v>
      </c>
      <c r="D79" s="3">
        <v>9</v>
      </c>
      <c r="E79" s="3">
        <v>7</v>
      </c>
      <c r="F79" s="3" t="s">
        <v>39</v>
      </c>
      <c r="G79" s="3" t="s">
        <v>38</v>
      </c>
      <c r="H79" s="3">
        <v>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>
        <v>3</v>
      </c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6</v>
      </c>
      <c r="D89" s="3">
        <v>2</v>
      </c>
      <c r="E89" s="3">
        <v>4</v>
      </c>
      <c r="F89" s="3" t="s">
        <v>39</v>
      </c>
      <c r="G89" s="3" t="s">
        <v>38</v>
      </c>
      <c r="H89" s="3"/>
      <c r="I89" s="3"/>
      <c r="J89" s="3"/>
      <c r="K89" s="3"/>
      <c r="L89" s="3"/>
      <c r="M89" s="3"/>
      <c r="N89" s="3">
        <v>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13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8</v>
      </c>
      <c r="C5" s="5"/>
    </row>
    <row r="6" spans="1:3" x14ac:dyDescent="0.3">
      <c r="A6" s="5" t="s">
        <v>33</v>
      </c>
      <c r="B6" s="5">
        <f>COUNTIF('WhatsApp Data'!G2:G111,"Me")</f>
        <v>10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152</v>
      </c>
      <c r="C10" s="6">
        <f t="shared" ref="C10:C33" si="0">IFERROR(B10/$B$2,0)</f>
        <v>1.3818181818181818</v>
      </c>
    </row>
    <row r="11" spans="1:3" x14ac:dyDescent="0.3">
      <c r="A11" s="5" t="s">
        <v>3</v>
      </c>
      <c r="B11" s="5">
        <f>SUM('WhatsApp Data'!D2:D111)</f>
        <v>84</v>
      </c>
      <c r="C11" s="6">
        <f t="shared" si="0"/>
        <v>0.76363636363636367</v>
      </c>
    </row>
    <row r="12" spans="1:3" x14ac:dyDescent="0.3">
      <c r="A12" s="5" t="s">
        <v>4</v>
      </c>
      <c r="B12" s="5">
        <f>SUM('WhatsApp Data'!E2:E111)</f>
        <v>68</v>
      </c>
      <c r="C12" s="6">
        <f t="shared" si="0"/>
        <v>0.61818181818181817</v>
      </c>
    </row>
    <row r="13" spans="1:3" x14ac:dyDescent="0.3">
      <c r="A13" s="5" t="s">
        <v>7</v>
      </c>
      <c r="B13" s="5">
        <f>SUM('WhatsApp Data'!H2:H111)</f>
        <v>2</v>
      </c>
      <c r="C13" s="6">
        <f t="shared" si="0"/>
        <v>1.8181818181818181E-2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3</v>
      </c>
      <c r="C19" s="6">
        <f t="shared" si="0"/>
        <v>2.7272727272727271E-2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0.56999999999999995</v>
      </c>
      <c r="C21" s="6">
        <f t="shared" si="0"/>
        <v>5.1818181818181815E-3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8</v>
      </c>
      <c r="C25" s="6">
        <f t="shared" si="0"/>
        <v>7.2727272727272724E-2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3</v>
      </c>
      <c r="C29" s="6">
        <f t="shared" si="0"/>
        <v>2.7272727272727271E-2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2026-10-04T14:24:11Z</dcterms:modified>
  <dc:language>en-US</dc:language>
</cp:coreProperties>
</file>