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22B3376-FB8C-4247-B8B8-F5D11393CD1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<sst xmlns="http://schemas.openxmlformats.org/spreadsheetml/2006/main" count="106" uniqueCount="40">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</sst>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="130" zoomScaleNormal="100" workbookViewId="0">
      <pane xSplit="2" ySplit="1" topLeftCell="C93" activePane="bottomRight" state="frozen"/>
      <selection pane="topRight" activeCell="C1" sqref="C1"/>
      <selection pane="bottomLeft" activeCell="A2" sqref="A2"/>
      <selection pane="bottomRight" activeCell="A111" sqref="A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9</v>
      </c>
      <c r="D7" s="3">
        <v>3</v>
      </c>
      <c r="E7" s="3">
        <v>6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1</v>
      </c>
      <c r="U7" s="3"/>
      <c r="V7" s="3">
        <v>3</v>
      </c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18</v>
      </c>
      <c r="D11" s="3">
        <v>12</v>
      </c>
      <c r="E11" s="3">
        <v>6</v>
      </c>
      <c r="F11" s="3" t="s">
        <v>39</v>
      </c>
      <c r="G11" s="3" t="s">
        <v>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5</v>
      </c>
      <c r="D17" s="3">
        <v>5</v>
      </c>
      <c r="E17" s="3"/>
      <c r="F17" s="3" t="s">
        <v>39</v>
      </c>
      <c r="G17" s="3" t="s">
        <v>39</v>
      </c>
      <c r="H17" s="3"/>
      <c r="I17" s="3"/>
      <c r="J17" s="3"/>
      <c r="K17" s="3"/>
      <c r="L17" s="3"/>
      <c r="M17" s="3"/>
      <c r="N17" s="3"/>
      <c r="O17" s="3"/>
      <c r="P17" s="3"/>
      <c r="Q17" s="3">
        <v>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11</v>
      </c>
      <c r="D26" s="3">
        <v>9</v>
      </c>
      <c r="E26" s="3">
        <v>2</v>
      </c>
      <c r="F26" s="3" t="s">
        <v>39</v>
      </c>
      <c r="G26" s="3" t="s">
        <v>39</v>
      </c>
      <c r="H26" s="3"/>
      <c r="I26" s="3"/>
      <c r="J26" s="3">
        <v>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7</v>
      </c>
      <c r="D40" s="3">
        <v>5</v>
      </c>
      <c r="E40" s="3">
        <v>2</v>
      </c>
      <c r="F40" s="3" t="s">
        <v>39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1</v>
      </c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8</v>
      </c>
      <c r="D49" s="3">
        <v>4</v>
      </c>
      <c r="E49" s="3">
        <v>4</v>
      </c>
      <c r="F49" s="3" t="s">
        <v>39</v>
      </c>
      <c r="G49" s="3" t="s">
        <v>39</v>
      </c>
      <c r="H49" s="3">
        <v>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>
        <v>1</v>
      </c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5</v>
      </c>
      <c r="D52" s="3">
        <v>3</v>
      </c>
      <c r="E52" s="3">
        <v>2</v>
      </c>
      <c r="F52" s="3" t="s">
        <v>39</v>
      </c>
      <c r="G52" s="3" t="s">
        <v>38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8</v>
      </c>
      <c r="D58" s="3">
        <v>6</v>
      </c>
      <c r="E58" s="3">
        <v>2</v>
      </c>
      <c r="F58" s="3" t="s">
        <v>39</v>
      </c>
      <c r="G58" s="3" t="s">
        <v>38</v>
      </c>
      <c r="H58" s="3"/>
      <c r="I58" s="3"/>
      <c r="J58" s="3">
        <v>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4</v>
      </c>
      <c r="D69" s="3">
        <v>3</v>
      </c>
      <c r="E69" s="3">
        <v>1</v>
      </c>
      <c r="F69" s="3" t="s">
        <v>39</v>
      </c>
      <c r="G69" s="3" t="s">
        <v>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6</v>
      </c>
      <c r="D87" s="3">
        <v>4</v>
      </c>
      <c r="E87" s="3">
        <v>2</v>
      </c>
      <c r="F87" s="3" t="s">
        <v>39</v>
      </c>
      <c r="G87" s="3" t="s">
        <v>39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9</v>
      </c>
      <c r="D88" s="3">
        <v>4</v>
      </c>
      <c r="E88" s="3">
        <v>5</v>
      </c>
      <c r="F88" s="3" t="s">
        <v>38</v>
      </c>
      <c r="G88" s="3" t="s">
        <v>39</v>
      </c>
      <c r="H88" s="3">
        <v>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4</v>
      </c>
      <c r="D89" s="3">
        <v>3</v>
      </c>
      <c r="E89" s="3">
        <v>1</v>
      </c>
      <c r="F89" s="3" t="s">
        <v>39</v>
      </c>
      <c r="G89" s="3" t="s">
        <v>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6</v>
      </c>
      <c r="D90" s="3">
        <v>5</v>
      </c>
      <c r="E90" s="3">
        <v>1</v>
      </c>
      <c r="F90" s="3" t="s">
        <v>39</v>
      </c>
      <c r="G90" s="3" t="s">
        <v>39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7</v>
      </c>
      <c r="D92" s="3">
        <v>5</v>
      </c>
      <c r="E92" s="3">
        <v>2</v>
      </c>
      <c r="F92" s="3" t="s">
        <v>39</v>
      </c>
      <c r="G92" s="3" t="s">
        <v>39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10</v>
      </c>
      <c r="D93" s="3">
        <v>5</v>
      </c>
      <c r="E93" s="3">
        <v>5</v>
      </c>
      <c r="F93" s="3" t="s">
        <v>39</v>
      </c>
      <c r="G93" s="3" t="s">
        <v>39</v>
      </c>
      <c r="H93" s="3">
        <v>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2</v>
      </c>
      <c r="D96" s="3">
        <v>1</v>
      </c>
      <c r="E96" s="3"/>
      <c r="F96" s="3" t="s">
        <v>38</v>
      </c>
      <c r="G96" s="3" t="s">
        <v>39</v>
      </c>
      <c r="H96" s="3"/>
      <c r="I96" s="3"/>
      <c r="J96" s="3"/>
      <c r="K96" s="3"/>
      <c r="L96" s="3"/>
      <c r="M96" s="3"/>
      <c r="N96" s="3">
        <v>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5</v>
      </c>
      <c r="D97" s="3">
        <v>4</v>
      </c>
      <c r="E97" s="3">
        <v>1</v>
      </c>
      <c r="F97" s="3" t="s">
        <v>39</v>
      </c>
      <c r="G97" s="3" t="s">
        <v>39</v>
      </c>
      <c r="H97" s="3"/>
      <c r="I97" s="3"/>
      <c r="J97" s="3">
        <v>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>
        <v>7</v>
      </c>
      <c r="D98" s="3">
        <v>6</v>
      </c>
      <c r="E98" s="3">
        <v>1</v>
      </c>
      <c r="F98" s="3" t="s">
        <v>39</v>
      </c>
      <c r="G98" s="3" t="s">
        <v>39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1</v>
      </c>
      <c r="U98" s="3"/>
      <c r="V98" s="3"/>
      <c r="W98" s="3"/>
      <c r="X98" s="3"/>
      <c r="Y98" s="3"/>
      <c r="Z98" s="3"/>
      <c r="AA98" s="3">
        <v>1</v>
      </c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7</v>
      </c>
      <c r="D103" s="3">
        <v>5</v>
      </c>
      <c r="E103" s="3">
        <v>2</v>
      </c>
      <c r="F103" s="3" t="s">
        <v>39</v>
      </c>
      <c r="G103" s="3" t="s">
        <v>38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9</v>
      </c>
      <c r="D104" s="3">
        <v>4</v>
      </c>
      <c r="E104" s="3">
        <v>5</v>
      </c>
      <c r="F104" s="3" t="s">
        <v>39</v>
      </c>
      <c r="G104" s="3" t="s">
        <v>38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>
        <v>2</v>
      </c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12</v>
      </c>
      <c r="D109" s="3">
        <v>7</v>
      </c>
      <c r="E109" s="3">
        <v>5</v>
      </c>
      <c r="F109" s="3" t="s">
        <v>39</v>
      </c>
      <c r="G109" s="3" t="s">
        <v>38</v>
      </c>
      <c r="H109" s="3"/>
      <c r="I109" s="3"/>
      <c r="J109" s="3"/>
      <c r="K109" s="3"/>
      <c r="L109" s="3">
        <v>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19</v>
      </c>
      <c r="D110" s="3">
        <v>11</v>
      </c>
      <c r="E110" s="3">
        <v>8</v>
      </c>
      <c r="F110" s="3" t="s">
        <v>39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>
        <v>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2</v>
      </c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F29" sqref="F29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22</v>
      </c>
      <c r="C3" s="5"/>
    </row>
    <row r="4" spans="1:3" x14ac:dyDescent="0.3">
      <c r="A4" s="5" t="s">
        <v>31</v>
      </c>
      <c r="B4" s="5">
        <f>COUNTIF('WhatsApp Data'!F2:F111,"Me")</f>
        <v>19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15</v>
      </c>
      <c r="C6" s="5"/>
    </row>
    <row r="7" spans="1:3" x14ac:dyDescent="0.3">
      <c r="A7" s="5" t="s">
        <v>34</v>
      </c>
      <c r="B7" s="5">
        <f>COUNTIF('WhatsApp Data'!G2:G111,"You")</f>
        <v>7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178</v>
      </c>
      <c r="C10" s="6">
        <f t="shared" ref="C10:C33" si="0">IFERROR(B10/$B$2,0)</f>
        <v>1.6181818181818182</v>
      </c>
    </row>
    <row r="11" spans="1:3" x14ac:dyDescent="0.3">
      <c r="A11" s="5" t="s">
        <v>3</v>
      </c>
      <c r="B11" s="5">
        <f>SUM('WhatsApp Data'!D2:D111)</f>
        <v>114</v>
      </c>
      <c r="C11" s="6">
        <f t="shared" si="0"/>
        <v>1.0363636363636364</v>
      </c>
    </row>
    <row r="12" spans="1:3" x14ac:dyDescent="0.3">
      <c r="A12" s="5" t="s">
        <v>4</v>
      </c>
      <c r="B12" s="5">
        <f>SUM('WhatsApp Data'!E2:E111)</f>
        <v>63</v>
      </c>
      <c r="C12" s="6">
        <f t="shared" si="0"/>
        <v>0.57272727272727275</v>
      </c>
    </row>
    <row r="13" spans="1:3" x14ac:dyDescent="0.3">
      <c r="A13" s="5" t="s">
        <v>7</v>
      </c>
      <c r="B13" s="5">
        <f>SUM('WhatsApp Data'!H2:H111)</f>
        <v>4</v>
      </c>
      <c r="C13" s="6">
        <f t="shared" si="0"/>
        <v>3.6363636363636362E-2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4</v>
      </c>
      <c r="C15" s="6">
        <f t="shared" si="0"/>
        <v>3.6363636363636362E-2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3</v>
      </c>
      <c r="C22" s="6">
        <f t="shared" si="0"/>
        <v>2.7272727272727271E-2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7</v>
      </c>
      <c r="C27" s="6">
        <f t="shared" si="0"/>
        <v>6.363636363636363E-2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2026-10-02T13:24:22Z</dcterms:modified>
  <dc:language>en-US</dc:language>
</cp:coreProperties>
</file>