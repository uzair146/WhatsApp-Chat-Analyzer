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CCB926B6-646C-4D30-B2CE-841E6B6D984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<sst xmlns="http://schemas.openxmlformats.org/spreadsheetml/2006/main" count="78" uniqueCount="40">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</sst>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70" activePane="bottomRight" state="frozen"/>
      <selection pane="topRight" activeCell="C1" sqref="C1"/>
      <selection pane="bottomLeft" activeCell="A2" sqref="A2"/>
      <selection pane="bottomRight" activeCell="A92" sqref="A92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1</v>
      </c>
      <c r="D8" s="3"/>
      <c r="E8" s="3">
        <v>1</v>
      </c>
      <c r="F8" s="3" t="s">
        <v>38</v>
      </c>
      <c r="G8" s="3" t="s">
        <v>38</v>
      </c>
      <c r="H8" s="3"/>
      <c r="I8" s="3"/>
      <c r="J8" s="3"/>
      <c r="K8" s="3"/>
      <c r="L8" s="3"/>
      <c r="M8" s="3"/>
      <c r="N8" s="3">
        <v>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>
        <v>2</v>
      </c>
      <c r="D20" s="3">
        <v>1</v>
      </c>
      <c r="E20" s="3">
        <v>1</v>
      </c>
      <c r="F20" s="3" t="s">
        <v>39</v>
      </c>
      <c r="G20" s="3" t="s">
        <v>38</v>
      </c>
      <c r="H20" s="3"/>
      <c r="I20" s="3"/>
      <c r="J20" s="3"/>
      <c r="K20" s="3"/>
      <c r="L20" s="3"/>
      <c r="M20" s="3">
        <v>1</v>
      </c>
      <c r="N20" s="3">
        <v>1</v>
      </c>
      <c r="O20" s="3"/>
      <c r="P20" s="3">
        <v>25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>
        <v>8</v>
      </c>
      <c r="D25" s="3">
        <v>5</v>
      </c>
      <c r="E25" s="3">
        <v>3</v>
      </c>
      <c r="F25" s="3" t="s">
        <v>38</v>
      </c>
      <c r="G25" s="3" t="s">
        <v>39</v>
      </c>
      <c r="H25" s="3"/>
      <c r="I25" s="3"/>
      <c r="J25" s="3"/>
      <c r="K25" s="3"/>
      <c r="L25" s="3"/>
      <c r="M25" s="3">
        <v>1</v>
      </c>
      <c r="N25" s="3">
        <v>1</v>
      </c>
      <c r="O25" s="3">
        <v>1</v>
      </c>
      <c r="P25" s="3">
        <v>5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3</v>
      </c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>
        <v>9</v>
      </c>
      <c r="D45" s="3">
        <v>2</v>
      </c>
      <c r="E45" s="3">
        <v>7</v>
      </c>
      <c r="F45" s="3" t="s">
        <v>38</v>
      </c>
      <c r="G45" s="3" t="s">
        <v>38</v>
      </c>
      <c r="H45" s="3"/>
      <c r="I45" s="3"/>
      <c r="J45" s="3"/>
      <c r="K45" s="3"/>
      <c r="L45" s="3"/>
      <c r="M45" s="3"/>
      <c r="N45" s="3">
        <v>1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>
        <v>1</v>
      </c>
      <c r="D75" s="3">
        <v>1</v>
      </c>
      <c r="E75" s="3"/>
      <c r="F75" s="3" t="s">
        <v>39</v>
      </c>
      <c r="G75" s="3" t="s">
        <v>39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>
        <v>3</v>
      </c>
      <c r="D78" s="3">
        <v>1</v>
      </c>
      <c r="E78" s="3">
        <v>2</v>
      </c>
      <c r="F78" s="3" t="s">
        <v>38</v>
      </c>
      <c r="G78" s="3" t="s">
        <v>39</v>
      </c>
      <c r="H78" s="3"/>
      <c r="I78" s="3"/>
      <c r="J78" s="3"/>
      <c r="K78" s="3"/>
      <c r="L78" s="3"/>
      <c r="M78" s="3"/>
      <c r="N78" s="3">
        <v>1</v>
      </c>
      <c r="O78" s="3">
        <v>1</v>
      </c>
      <c r="P78" s="3">
        <v>0.73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>
        <v>1</v>
      </c>
      <c r="D85" s="3"/>
      <c r="E85" s="3">
        <v>1</v>
      </c>
      <c r="F85" s="3" t="s">
        <v>38</v>
      </c>
      <c r="G85" s="3" t="s">
        <v>38</v>
      </c>
      <c r="H85" s="3"/>
      <c r="I85" s="3"/>
      <c r="J85" s="3"/>
      <c r="K85" s="3"/>
      <c r="L85" s="3"/>
      <c r="M85" s="3"/>
      <c r="N85" s="3"/>
      <c r="O85" s="3">
        <v>1</v>
      </c>
      <c r="P85" s="3">
        <v>6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>
        <v>2</v>
      </c>
      <c r="D92" s="3">
        <v>2</v>
      </c>
      <c r="E92" s="3"/>
      <c r="F92" s="3" t="s">
        <v>39</v>
      </c>
      <c r="G92" s="3" t="s">
        <v>39</v>
      </c>
      <c r="H92" s="3"/>
      <c r="I92" s="3"/>
      <c r="J92" s="3"/>
      <c r="K92" s="3"/>
      <c r="L92" s="3">
        <v>2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8</v>
      </c>
      <c r="C3" s="5"/>
    </row>
    <row r="4" spans="1:3" x14ac:dyDescent="0.3">
      <c r="A4" s="5" t="s">
        <v>31</v>
      </c>
      <c r="B4" s="5">
        <f>COUNTIF('WhatsApp Data'!F2:F111,"Me")</f>
        <v>3</v>
      </c>
      <c r="C4" s="5"/>
    </row>
    <row r="5" spans="1:3" x14ac:dyDescent="0.3">
      <c r="A5" s="5" t="s">
        <v>32</v>
      </c>
      <c r="B5" s="5">
        <f>COUNTIF('WhatsApp Data'!F2:F111,"You")</f>
        <v>5</v>
      </c>
      <c r="C5" s="5"/>
    </row>
    <row r="6" spans="1:3" x14ac:dyDescent="0.3">
      <c r="A6" s="5" t="s">
        <v>33</v>
      </c>
      <c r="B6" s="5">
        <f>COUNTIF('WhatsApp Data'!G2:G111,"Me")</f>
        <v>4</v>
      </c>
      <c r="C6" s="5"/>
    </row>
    <row r="7" spans="1:3" x14ac:dyDescent="0.3">
      <c r="A7" s="5" t="s">
        <v>34</v>
      </c>
      <c r="B7" s="5">
        <f>COUNTIF('WhatsApp Data'!G2:G111,"You")</f>
        <v>4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27</v>
      </c>
      <c r="C10" s="6">
        <f t="shared" ref="C10:C33" si="0">IFERROR(B10/$B$2,0)</f>
        <v>0.24545454545454545</v>
      </c>
    </row>
    <row r="11" spans="1:3" x14ac:dyDescent="0.3">
      <c r="A11" s="5" t="s">
        <v>3</v>
      </c>
      <c r="B11" s="5">
        <f>SUM('WhatsApp Data'!D2:D111)</f>
        <v>12</v>
      </c>
      <c r="C11" s="6">
        <f t="shared" si="0"/>
        <v>0.10909090909090909</v>
      </c>
    </row>
    <row r="12" spans="1:3" x14ac:dyDescent="0.3">
      <c r="A12" s="5" t="s">
        <v>4</v>
      </c>
      <c r="B12" s="5">
        <f>SUM('WhatsApp Data'!E2:E111)</f>
        <v>15</v>
      </c>
      <c r="C12" s="6">
        <f t="shared" si="0"/>
        <v>0.13636363636363635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2</v>
      </c>
      <c r="C17" s="6">
        <f t="shared" si="0"/>
        <v>1.8181818181818181E-2</v>
      </c>
    </row>
    <row r="18" spans="1:3" x14ac:dyDescent="0.3">
      <c r="A18" s="5" t="s">
        <v>12</v>
      </c>
      <c r="B18" s="5">
        <f>SUM('WhatsApp Data'!M2:M111)</f>
        <v>2</v>
      </c>
      <c r="C18" s="6">
        <f t="shared" si="0"/>
        <v>1.8181818181818181E-2</v>
      </c>
    </row>
    <row r="19" spans="1:3" x14ac:dyDescent="0.3">
      <c r="A19" s="5" t="s">
        <v>13</v>
      </c>
      <c r="B19" s="5">
        <f>SUM('WhatsApp Data'!N2:N111)</f>
        <v>5</v>
      </c>
      <c r="C19" s="6">
        <f t="shared" si="0"/>
        <v>4.5454545454545456E-2</v>
      </c>
    </row>
    <row r="20" spans="1:3" x14ac:dyDescent="0.3">
      <c r="A20" s="5" t="s">
        <v>14</v>
      </c>
      <c r="B20" s="5">
        <f>SUM('WhatsApp Data'!O2:O111)</f>
        <v>3</v>
      </c>
      <c r="C20" s="6">
        <f t="shared" si="0"/>
        <v>2.7272727272727271E-2</v>
      </c>
    </row>
    <row r="21" spans="1:3" x14ac:dyDescent="0.3">
      <c r="A21" s="5" t="s">
        <v>15</v>
      </c>
      <c r="B21" s="5">
        <f>SUM('WhatsApp Data'!P2:P111)</f>
        <v>36.730000000000004</v>
      </c>
      <c r="C21" s="6">
        <f t="shared" si="0"/>
        <v>0.33390909090909093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4</v>
      </c>
      <c r="C32" s="6">
        <f t="shared" si="0"/>
        <v>3.6363636363636362E-2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2026-10-20T19:27:22Z</dcterms:modified>
  <dc:language>en-US</dc:language>
</cp:coreProperties>
</file>