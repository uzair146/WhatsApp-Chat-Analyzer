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13E4A938-5CA9-4C37-B4DC-2F1A150703F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<sst xmlns="http://schemas.openxmlformats.org/spreadsheetml/2006/main" count="184" uniqueCount="40">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</sst>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100" activePane="bottomRight" state="frozen"/>
      <selection pane="topRight" activeCell="C1" sqref="C1"/>
      <selection pane="bottomLeft" activeCell="A2" sqref="A2"/>
      <selection pane="bottomRight" activeCell="N111" sqref="N111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>
        <v>15</v>
      </c>
      <c r="D2" s="3">
        <v>9</v>
      </c>
      <c r="E2" s="3">
        <v>6</v>
      </c>
      <c r="F2" s="3" t="s">
        <v>38</v>
      </c>
      <c r="G2" s="3" t="s">
        <v>39</v>
      </c>
      <c r="H2" s="3"/>
      <c r="I2" s="3"/>
      <c r="J2" s="3"/>
      <c r="K2" s="3"/>
      <c r="L2" s="3"/>
      <c r="M2" s="3"/>
      <c r="N2" s="3">
        <v>1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>
        <v>6</v>
      </c>
      <c r="D3" s="3">
        <v>5</v>
      </c>
      <c r="E3" s="3">
        <v>1</v>
      </c>
      <c r="F3" s="3" t="s">
        <v>38</v>
      </c>
      <c r="G3" s="3" t="s">
        <v>38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>
        <v>1</v>
      </c>
      <c r="D4" s="3">
        <v>1</v>
      </c>
      <c r="E4" s="3"/>
      <c r="F4" s="3" t="s">
        <v>38</v>
      </c>
      <c r="G4" s="3" t="s">
        <v>38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>
        <v>3</v>
      </c>
      <c r="D5" s="3">
        <v>2</v>
      </c>
      <c r="E5" s="3">
        <v>1</v>
      </c>
      <c r="F5" s="3" t="s">
        <v>38</v>
      </c>
      <c r="G5" s="3" t="s">
        <v>39</v>
      </c>
      <c r="H5" s="3"/>
      <c r="I5" s="3"/>
      <c r="J5" s="3"/>
      <c r="K5" s="3">
        <v>1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>
        <v>1</v>
      </c>
      <c r="D6" s="3">
        <v>1</v>
      </c>
      <c r="E6" s="3"/>
      <c r="F6" s="3" t="s">
        <v>38</v>
      </c>
      <c r="G6" s="3" t="s">
        <v>38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>
        <v>1</v>
      </c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>
        <v>2</v>
      </c>
      <c r="D7" s="3">
        <v>2</v>
      </c>
      <c r="E7" s="3"/>
      <c r="F7" s="3" t="s">
        <v>38</v>
      </c>
      <c r="G7" s="3" t="s">
        <v>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>
        <v>9</v>
      </c>
      <c r="D8" s="3">
        <v>8</v>
      </c>
      <c r="E8" s="3">
        <v>1</v>
      </c>
      <c r="F8" s="3" t="s">
        <v>39</v>
      </c>
      <c r="G8" s="3" t="s">
        <v>38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4</v>
      </c>
      <c r="AB8" s="3">
        <v>1</v>
      </c>
    </row>
    <row r="9" spans="1:28" x14ac:dyDescent="0.3">
      <c r="A9" s="2">
        <v>46048</v>
      </c>
      <c r="B9" s="3" t="str">
        <f t="shared" si="0"/>
        <v>Mon</v>
      </c>
      <c r="C9" s="3">
        <v>4</v>
      </c>
      <c r="D9" s="3">
        <v>2</v>
      </c>
      <c r="E9" s="3">
        <v>2</v>
      </c>
      <c r="F9" s="3" t="s">
        <v>38</v>
      </c>
      <c r="G9" s="3" t="s">
        <v>39</v>
      </c>
      <c r="H9" s="3"/>
      <c r="I9" s="3"/>
      <c r="J9" s="3"/>
      <c r="K9" s="3">
        <v>1</v>
      </c>
      <c r="L9" s="3"/>
      <c r="M9" s="3"/>
      <c r="N9" s="3">
        <v>1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>
        <v>6</v>
      </c>
      <c r="D10" s="3">
        <v>3</v>
      </c>
      <c r="E10" s="3">
        <v>3</v>
      </c>
      <c r="F10" s="3" t="s">
        <v>38</v>
      </c>
      <c r="G10" s="3" t="s">
        <v>39</v>
      </c>
      <c r="H10" s="3"/>
      <c r="I10" s="3"/>
      <c r="J10" s="3"/>
      <c r="K10" s="3"/>
      <c r="L10" s="3"/>
      <c r="M10" s="3"/>
      <c r="N10" s="3">
        <v>1</v>
      </c>
      <c r="O10" s="3">
        <v>1</v>
      </c>
      <c r="P10" s="3">
        <v>0.47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>
        <v>1</v>
      </c>
      <c r="D11" s="3">
        <v>1</v>
      </c>
      <c r="E11" s="3"/>
      <c r="F11" s="3" t="s">
        <v>38</v>
      </c>
      <c r="G11" s="3" t="s">
        <v>38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>
        <v>2</v>
      </c>
      <c r="D13" s="3">
        <v>1</v>
      </c>
      <c r="E13" s="3">
        <v>1</v>
      </c>
      <c r="F13" s="3" t="s">
        <v>38</v>
      </c>
      <c r="G13" s="3" t="s">
        <v>39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1</v>
      </c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>
        <v>4</v>
      </c>
      <c r="D14" s="3"/>
      <c r="E14" s="3">
        <v>4</v>
      </c>
      <c r="F14" s="3" t="s">
        <v>39</v>
      </c>
      <c r="G14" s="3" t="s">
        <v>39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4</v>
      </c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>
        <v>1</v>
      </c>
      <c r="D16" s="3">
        <v>1</v>
      </c>
      <c r="E16" s="3"/>
      <c r="F16" s="3" t="s">
        <v>38</v>
      </c>
      <c r="G16" s="3" t="s">
        <v>38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>
        <v>1</v>
      </c>
      <c r="D17" s="3">
        <v>1</v>
      </c>
      <c r="E17" s="3"/>
      <c r="F17" s="3" t="s">
        <v>38</v>
      </c>
      <c r="G17" s="3" t="s">
        <v>38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>
        <v>5</v>
      </c>
      <c r="D18" s="3">
        <v>3</v>
      </c>
      <c r="E18" s="3">
        <v>2</v>
      </c>
      <c r="F18" s="3" t="s">
        <v>38</v>
      </c>
      <c r="G18" s="3" t="s">
        <v>39</v>
      </c>
      <c r="H18" s="3"/>
      <c r="I18" s="3"/>
      <c r="J18" s="3"/>
      <c r="K18" s="3"/>
      <c r="L18" s="3"/>
      <c r="M18" s="3"/>
      <c r="N18" s="3">
        <v>1</v>
      </c>
      <c r="O18" s="3"/>
      <c r="P18" s="3"/>
      <c r="Q18" s="3"/>
      <c r="R18" s="3">
        <v>1</v>
      </c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>
        <v>8</v>
      </c>
      <c r="D23" s="3">
        <v>6</v>
      </c>
      <c r="E23" s="3">
        <v>2</v>
      </c>
      <c r="F23" s="3" t="s">
        <v>38</v>
      </c>
      <c r="G23" s="3" t="s">
        <v>39</v>
      </c>
      <c r="H23" s="3"/>
      <c r="I23" s="3"/>
      <c r="J23" s="3">
        <v>1</v>
      </c>
      <c r="K23" s="3"/>
      <c r="L23" s="3"/>
      <c r="M23" s="3"/>
      <c r="N23" s="3">
        <v>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>
        <v>8</v>
      </c>
      <c r="D24" s="3">
        <v>6</v>
      </c>
      <c r="E24" s="3">
        <v>2</v>
      </c>
      <c r="F24" s="3" t="s">
        <v>38</v>
      </c>
      <c r="G24" s="3" t="s">
        <v>38</v>
      </c>
      <c r="H24" s="3"/>
      <c r="I24" s="3"/>
      <c r="J24" s="3">
        <v>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>
        <v>1</v>
      </c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>
        <v>1</v>
      </c>
      <c r="D25" s="3">
        <v>1</v>
      </c>
      <c r="E25" s="3"/>
      <c r="F25" s="3" t="s">
        <v>38</v>
      </c>
      <c r="G25" s="3" t="s">
        <v>38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>
        <v>1</v>
      </c>
      <c r="D26" s="3">
        <v>1</v>
      </c>
      <c r="E26" s="3"/>
      <c r="F26" s="3" t="s">
        <v>38</v>
      </c>
      <c r="G26" s="3" t="s">
        <v>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>
        <v>2</v>
      </c>
      <c r="D27" s="3">
        <v>1</v>
      </c>
      <c r="E27" s="3">
        <v>1</v>
      </c>
      <c r="F27" s="3" t="s">
        <v>39</v>
      </c>
      <c r="G27" s="3" t="s">
        <v>38</v>
      </c>
      <c r="H27" s="3"/>
      <c r="I27" s="3"/>
      <c r="J27" s="3"/>
      <c r="K27" s="3"/>
      <c r="L27" s="3"/>
      <c r="M27" s="3"/>
      <c r="N27" s="3">
        <v>1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>
        <v>6</v>
      </c>
      <c r="D28" s="3">
        <v>3</v>
      </c>
      <c r="E28" s="3">
        <v>3</v>
      </c>
      <c r="F28" s="3" t="s">
        <v>38</v>
      </c>
      <c r="G28" s="3" t="s">
        <v>38</v>
      </c>
      <c r="H28" s="3"/>
      <c r="I28" s="3"/>
      <c r="J28" s="3"/>
      <c r="K28" s="3">
        <v>2</v>
      </c>
      <c r="L28" s="3"/>
      <c r="M28" s="3"/>
      <c r="N28" s="3">
        <v>1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>
        <v>1</v>
      </c>
      <c r="D30" s="3">
        <v>1</v>
      </c>
      <c r="E30" s="3"/>
      <c r="F30" s="3" t="s">
        <v>38</v>
      </c>
      <c r="G30" s="3" t="s">
        <v>38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>
        <v>3</v>
      </c>
      <c r="D31" s="3">
        <v>3</v>
      </c>
      <c r="E31" s="3"/>
      <c r="F31" s="3" t="s">
        <v>38</v>
      </c>
      <c r="G31" s="3" t="s">
        <v>38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>
        <v>2</v>
      </c>
      <c r="D33" s="3">
        <v>2</v>
      </c>
      <c r="E33" s="3"/>
      <c r="F33" s="3" t="s">
        <v>38</v>
      </c>
      <c r="G33" s="3" t="s">
        <v>38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>
        <v>3</v>
      </c>
      <c r="D34" s="3">
        <v>2</v>
      </c>
      <c r="E34" s="3">
        <v>1</v>
      </c>
      <c r="F34" s="3" t="s">
        <v>38</v>
      </c>
      <c r="G34" s="3" t="s">
        <v>38</v>
      </c>
      <c r="H34" s="3"/>
      <c r="I34" s="3"/>
      <c r="J34" s="3"/>
      <c r="K34" s="3"/>
      <c r="L34" s="3"/>
      <c r="M34" s="3"/>
      <c r="N34" s="3">
        <v>1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>
        <v>3</v>
      </c>
      <c r="D35" s="3">
        <v>3</v>
      </c>
      <c r="E35" s="3"/>
      <c r="F35" s="3" t="s">
        <v>38</v>
      </c>
      <c r="G35" s="3" t="s">
        <v>38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>
        <v>1</v>
      </c>
      <c r="D37" s="3">
        <v>1</v>
      </c>
      <c r="E37" s="3"/>
      <c r="F37" s="3" t="s">
        <v>38</v>
      </c>
      <c r="G37" s="3" t="s">
        <v>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>
        <v>1</v>
      </c>
      <c r="D38" s="3">
        <v>1</v>
      </c>
      <c r="E38" s="3"/>
      <c r="F38" s="3" t="s">
        <v>38</v>
      </c>
      <c r="G38" s="3" t="s">
        <v>38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>
        <v>1</v>
      </c>
      <c r="D39" s="3">
        <v>1</v>
      </c>
      <c r="E39" s="3"/>
      <c r="F39" s="3" t="s">
        <v>38</v>
      </c>
      <c r="G39" s="3" t="s">
        <v>38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>
        <v>1</v>
      </c>
      <c r="D40" s="3">
        <v>1</v>
      </c>
      <c r="E40" s="3"/>
      <c r="F40" s="3" t="s">
        <v>38</v>
      </c>
      <c r="G40" s="3" t="s">
        <v>38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>
        <v>5</v>
      </c>
      <c r="D41" s="3">
        <v>3</v>
      </c>
      <c r="E41" s="3">
        <v>2</v>
      </c>
      <c r="F41" s="3" t="s">
        <v>39</v>
      </c>
      <c r="G41" s="3" t="s">
        <v>38</v>
      </c>
      <c r="H41" s="3"/>
      <c r="I41" s="3"/>
      <c r="J41" s="3"/>
      <c r="K41" s="3"/>
      <c r="L41" s="3"/>
      <c r="M41" s="3"/>
      <c r="N41" s="3">
        <v>2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>
        <v>3</v>
      </c>
      <c r="D44" s="3">
        <v>2</v>
      </c>
      <c r="E44" s="3">
        <v>1</v>
      </c>
      <c r="F44" s="3" t="s">
        <v>39</v>
      </c>
      <c r="G44" s="3" t="s">
        <v>38</v>
      </c>
      <c r="H44" s="3"/>
      <c r="I44" s="3"/>
      <c r="J44" s="3"/>
      <c r="K44" s="3"/>
      <c r="L44" s="3"/>
      <c r="M44" s="3"/>
      <c r="N44" s="3">
        <v>1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>
        <v>1</v>
      </c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>
        <v>4</v>
      </c>
      <c r="D45" s="3">
        <v>1</v>
      </c>
      <c r="E45" s="3">
        <v>3</v>
      </c>
      <c r="F45" s="3" t="s">
        <v>39</v>
      </c>
      <c r="G45" s="3" t="s">
        <v>38</v>
      </c>
      <c r="H45" s="3"/>
      <c r="I45" s="3"/>
      <c r="J45" s="3"/>
      <c r="K45" s="3"/>
      <c r="L45" s="3"/>
      <c r="M45" s="3"/>
      <c r="N45" s="3">
        <v>1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>
        <v>4</v>
      </c>
      <c r="D46" s="3">
        <v>3</v>
      </c>
      <c r="E46" s="3">
        <v>1</v>
      </c>
      <c r="F46" s="3" t="s">
        <v>38</v>
      </c>
      <c r="G46" s="3" t="s">
        <v>39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>
        <v>1</v>
      </c>
      <c r="D51" s="3">
        <v>1</v>
      </c>
      <c r="E51" s="3"/>
      <c r="F51" s="3" t="s">
        <v>38</v>
      </c>
      <c r="G51" s="3" t="s">
        <v>38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>
        <v>6</v>
      </c>
      <c r="D58" s="3">
        <v>5</v>
      </c>
      <c r="E58" s="3">
        <v>1</v>
      </c>
      <c r="F58" s="3" t="s">
        <v>38</v>
      </c>
      <c r="G58" s="3" t="s">
        <v>39</v>
      </c>
      <c r="H58" s="3"/>
      <c r="I58" s="3"/>
      <c r="J58" s="3"/>
      <c r="K58" s="3"/>
      <c r="L58" s="3"/>
      <c r="M58" s="3"/>
      <c r="N58" s="3">
        <v>1</v>
      </c>
      <c r="O58" s="3"/>
      <c r="P58" s="3"/>
      <c r="Q58" s="3">
        <v>4</v>
      </c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>
        <v>1</v>
      </c>
      <c r="D63" s="3">
        <v>1</v>
      </c>
      <c r="E63" s="3"/>
      <c r="F63" s="3" t="s">
        <v>38</v>
      </c>
      <c r="G63" s="3" t="s">
        <v>38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>
        <v>1</v>
      </c>
      <c r="D64" s="3">
        <v>1</v>
      </c>
      <c r="E64" s="3"/>
      <c r="F64" s="3" t="s">
        <v>39</v>
      </c>
      <c r="G64" s="3" t="s">
        <v>39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>
        <v>1</v>
      </c>
      <c r="D72" s="3">
        <v>1</v>
      </c>
      <c r="E72" s="3"/>
      <c r="F72" s="3" t="s">
        <v>38</v>
      </c>
      <c r="G72" s="3" t="s">
        <v>38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>
        <v>1</v>
      </c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>
        <v>1</v>
      </c>
      <c r="D73" s="3">
        <v>1</v>
      </c>
      <c r="E73" s="3"/>
      <c r="F73" s="3" t="s">
        <v>38</v>
      </c>
      <c r="G73" s="3" t="s">
        <v>38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>
        <v>12</v>
      </c>
      <c r="D79" s="3">
        <v>7</v>
      </c>
      <c r="E79" s="3">
        <v>5</v>
      </c>
      <c r="F79" s="3" t="s">
        <v>38</v>
      </c>
      <c r="G79" s="3" t="s">
        <v>39</v>
      </c>
      <c r="H79" s="3"/>
      <c r="I79" s="3"/>
      <c r="J79" s="3"/>
      <c r="K79" s="3">
        <v>2</v>
      </c>
      <c r="L79" s="3"/>
      <c r="M79" s="3"/>
      <c r="N79" s="3">
        <v>3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>
        <v>4</v>
      </c>
      <c r="D80" s="3">
        <v>3</v>
      </c>
      <c r="E80" s="3">
        <v>1</v>
      </c>
      <c r="F80" s="3" t="s">
        <v>39</v>
      </c>
      <c r="G80" s="3" t="s">
        <v>38</v>
      </c>
      <c r="H80" s="3"/>
      <c r="I80" s="3"/>
      <c r="J80" s="3"/>
      <c r="K80" s="3"/>
      <c r="L80" s="3"/>
      <c r="M80" s="3"/>
      <c r="N80" s="3">
        <v>1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>
        <v>2</v>
      </c>
      <c r="D81" s="3"/>
      <c r="E81" s="3">
        <v>2</v>
      </c>
      <c r="F81" s="3" t="s">
        <v>39</v>
      </c>
      <c r="G81" s="3" t="s">
        <v>39</v>
      </c>
      <c r="H81" s="3"/>
      <c r="I81" s="3"/>
      <c r="J81" s="3"/>
      <c r="K81" s="3"/>
      <c r="L81" s="3"/>
      <c r="M81" s="3"/>
      <c r="N81" s="3">
        <v>1</v>
      </c>
      <c r="O81" s="3"/>
      <c r="P81" s="3"/>
      <c r="Q81" s="3"/>
      <c r="R81" s="3">
        <v>1</v>
      </c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>
        <v>4</v>
      </c>
      <c r="D82" s="3">
        <v>2</v>
      </c>
      <c r="E82" s="3">
        <v>2</v>
      </c>
      <c r="F82" s="3" t="s">
        <v>39</v>
      </c>
      <c r="G82" s="3" t="s">
        <v>39</v>
      </c>
      <c r="H82" s="3"/>
      <c r="I82" s="3"/>
      <c r="J82" s="3"/>
      <c r="K82" s="3"/>
      <c r="L82" s="3"/>
      <c r="M82" s="3"/>
      <c r="N82" s="3">
        <v>2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>
        <v>5</v>
      </c>
      <c r="D83" s="3">
        <v>4</v>
      </c>
      <c r="E83" s="3">
        <v>1</v>
      </c>
      <c r="F83" s="3" t="s">
        <v>38</v>
      </c>
      <c r="G83" s="3" t="s">
        <v>38</v>
      </c>
      <c r="H83" s="3"/>
      <c r="I83" s="3"/>
      <c r="J83" s="3"/>
      <c r="K83" s="3"/>
      <c r="L83" s="3"/>
      <c r="M83" s="3"/>
      <c r="N83" s="3">
        <v>1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>
        <v>6</v>
      </c>
      <c r="D84" s="3">
        <v>3</v>
      </c>
      <c r="E84" s="3">
        <v>3</v>
      </c>
      <c r="F84" s="3" t="s">
        <v>39</v>
      </c>
      <c r="G84" s="3" t="s">
        <v>39</v>
      </c>
      <c r="H84" s="3"/>
      <c r="I84" s="3"/>
      <c r="J84" s="3"/>
      <c r="K84" s="3">
        <v>1</v>
      </c>
      <c r="L84" s="3"/>
      <c r="M84" s="3"/>
      <c r="N84" s="3">
        <v>2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>
        <v>2</v>
      </c>
      <c r="D86" s="3">
        <v>2</v>
      </c>
      <c r="E86" s="3"/>
      <c r="F86" s="3" t="s">
        <v>38</v>
      </c>
      <c r="G86" s="3" t="s">
        <v>38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>
        <v>2</v>
      </c>
      <c r="D87" s="3">
        <v>2</v>
      </c>
      <c r="E87" s="3"/>
      <c r="F87" s="3" t="s">
        <v>38</v>
      </c>
      <c r="G87" s="3" t="s">
        <v>38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>
        <v>1</v>
      </c>
      <c r="D88" s="3">
        <v>1</v>
      </c>
      <c r="E88" s="3"/>
      <c r="F88" s="3" t="s">
        <v>38</v>
      </c>
      <c r="G88" s="3" t="s">
        <v>38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>
        <v>1</v>
      </c>
      <c r="D89" s="3">
        <v>1</v>
      </c>
      <c r="E89" s="3"/>
      <c r="F89" s="3" t="s">
        <v>38</v>
      </c>
      <c r="G89" s="3" t="s">
        <v>38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>
        <v>13</v>
      </c>
      <c r="D93" s="3">
        <v>11</v>
      </c>
      <c r="E93" s="3">
        <v>2</v>
      </c>
      <c r="F93" s="3" t="s">
        <v>38</v>
      </c>
      <c r="G93" s="3" t="s">
        <v>38</v>
      </c>
      <c r="H93" s="3"/>
      <c r="I93" s="3"/>
      <c r="J93" s="3"/>
      <c r="K93" s="3"/>
      <c r="L93" s="3"/>
      <c r="M93" s="3"/>
      <c r="N93" s="3"/>
      <c r="O93" s="3"/>
      <c r="P93" s="3"/>
      <c r="Q93" s="3">
        <v>1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>
        <v>1</v>
      </c>
      <c r="D94" s="3">
        <v>1</v>
      </c>
      <c r="E94" s="3"/>
      <c r="F94" s="3" t="s">
        <v>38</v>
      </c>
      <c r="G94" s="3" t="s">
        <v>38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>
        <v>2</v>
      </c>
      <c r="D95" s="3"/>
      <c r="E95" s="3">
        <v>2</v>
      </c>
      <c r="F95" s="3" t="s">
        <v>39</v>
      </c>
      <c r="G95" s="3" t="s">
        <v>39</v>
      </c>
      <c r="H95" s="3"/>
      <c r="I95" s="3"/>
      <c r="J95" s="3"/>
      <c r="K95" s="3"/>
      <c r="L95" s="3"/>
      <c r="M95" s="3"/>
      <c r="N95" s="3">
        <v>2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11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>
        <v>2</v>
      </c>
      <c r="D99" s="3"/>
      <c r="E99" s="3">
        <v>2</v>
      </c>
      <c r="F99" s="3" t="s">
        <v>39</v>
      </c>
      <c r="G99" s="3" t="s">
        <v>39</v>
      </c>
      <c r="H99" s="3"/>
      <c r="I99" s="3"/>
      <c r="J99" s="3"/>
      <c r="K99" s="3"/>
      <c r="L99" s="3"/>
      <c r="M99" s="3"/>
      <c r="N99" s="3">
        <v>1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>
        <v>1</v>
      </c>
      <c r="D102" s="3">
        <v>1</v>
      </c>
      <c r="E102" s="3"/>
      <c r="F102" s="3" t="s">
        <v>39</v>
      </c>
      <c r="G102" s="3" t="s">
        <v>39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>
        <v>1</v>
      </c>
      <c r="D106" s="3">
        <v>1</v>
      </c>
      <c r="E106" s="3"/>
      <c r="F106" s="3" t="s">
        <v>39</v>
      </c>
      <c r="G106" s="3" t="s">
        <v>39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>
        <v>4</v>
      </c>
      <c r="D107" s="3">
        <v>3</v>
      </c>
      <c r="E107" s="3">
        <v>1</v>
      </c>
      <c r="F107" s="3" t="s">
        <v>39</v>
      </c>
      <c r="G107" s="3" t="s">
        <v>38</v>
      </c>
      <c r="H107" s="3"/>
      <c r="I107" s="3"/>
      <c r="J107" s="3"/>
      <c r="K107" s="3"/>
      <c r="L107" s="3"/>
      <c r="M107" s="3"/>
      <c r="N107" s="3">
        <v>1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>
        <v>2</v>
      </c>
      <c r="D108" s="3">
        <v>1</v>
      </c>
      <c r="E108" s="3">
        <v>1</v>
      </c>
      <c r="F108" s="3" t="s">
        <v>38</v>
      </c>
      <c r="G108" s="3" t="s">
        <v>39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>
        <v>3</v>
      </c>
      <c r="D109" s="3">
        <v>3</v>
      </c>
      <c r="E109" s="3"/>
      <c r="F109" s="3" t="s">
        <v>38</v>
      </c>
      <c r="G109" s="3" t="s">
        <v>38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10</v>
      </c>
      <c r="D110" s="3">
        <v>9</v>
      </c>
      <c r="E110" s="3">
        <v>1</v>
      </c>
      <c r="F110" s="3" t="s">
        <v>38</v>
      </c>
      <c r="G110" s="3" t="s">
        <v>38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>
        <v>2</v>
      </c>
      <c r="D111" s="3"/>
      <c r="E111" s="3">
        <v>2</v>
      </c>
      <c r="F111" s="3" t="s">
        <v>39</v>
      </c>
      <c r="G111" s="3" t="s">
        <v>39</v>
      </c>
      <c r="H111" s="3"/>
      <c r="I111" s="3"/>
      <c r="J111" s="3"/>
      <c r="K111" s="3"/>
      <c r="L111" s="3"/>
      <c r="M111" s="3"/>
      <c r="N111" s="3">
        <v>2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61</v>
      </c>
      <c r="C3" s="5"/>
    </row>
    <row r="4" spans="1:3" x14ac:dyDescent="0.3">
      <c r="A4" s="5" t="s">
        <v>31</v>
      </c>
      <c r="B4" s="5">
        <f>COUNTIF('WhatsApp Data'!F2:F111,"Me")</f>
        <v>44</v>
      </c>
      <c r="C4" s="5"/>
    </row>
    <row r="5" spans="1:3" x14ac:dyDescent="0.3">
      <c r="A5" s="5" t="s">
        <v>32</v>
      </c>
      <c r="B5" s="5">
        <f>COUNTIF('WhatsApp Data'!F2:F111,"You")</f>
        <v>17</v>
      </c>
      <c r="C5" s="5"/>
    </row>
    <row r="6" spans="1:3" x14ac:dyDescent="0.3">
      <c r="A6" s="5" t="s">
        <v>33</v>
      </c>
      <c r="B6" s="5">
        <f>COUNTIF('WhatsApp Data'!G2:G111,"Me")</f>
        <v>40</v>
      </c>
      <c r="C6" s="5"/>
    </row>
    <row r="7" spans="1:3" x14ac:dyDescent="0.3">
      <c r="A7" s="5" t="s">
        <v>34</v>
      </c>
      <c r="B7" s="5">
        <f>COUNTIF('WhatsApp Data'!G2:G111,"You")</f>
        <v>21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210</v>
      </c>
      <c r="C10" s="6">
        <f t="shared" ref="C10:C33" si="0">IFERROR(B10/$B$2,0)</f>
        <v>1.9090909090909092</v>
      </c>
    </row>
    <row r="11" spans="1:3" x14ac:dyDescent="0.3">
      <c r="A11" s="5" t="s">
        <v>3</v>
      </c>
      <c r="B11" s="5">
        <f>SUM('WhatsApp Data'!D2:D111)</f>
        <v>147</v>
      </c>
      <c r="C11" s="6">
        <f t="shared" si="0"/>
        <v>1.3363636363636364</v>
      </c>
    </row>
    <row r="12" spans="1:3" x14ac:dyDescent="0.3">
      <c r="A12" s="5" t="s">
        <v>4</v>
      </c>
      <c r="B12" s="5">
        <f>SUM('WhatsApp Data'!E2:E111)</f>
        <v>63</v>
      </c>
      <c r="C12" s="6">
        <f t="shared" si="0"/>
        <v>0.57272727272727275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2</v>
      </c>
      <c r="C15" s="6">
        <f t="shared" si="0"/>
        <v>1.8181818181818181E-2</v>
      </c>
    </row>
    <row r="16" spans="1:3" x14ac:dyDescent="0.3">
      <c r="A16" s="5" t="s">
        <v>10</v>
      </c>
      <c r="B16" s="5">
        <f>SUM('WhatsApp Data'!K2:K111)</f>
        <v>7</v>
      </c>
      <c r="C16" s="6">
        <f t="shared" si="0"/>
        <v>6.363636363636363E-2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29</v>
      </c>
      <c r="C19" s="6">
        <f t="shared" si="0"/>
        <v>0.26363636363636361</v>
      </c>
    </row>
    <row r="20" spans="1:3" x14ac:dyDescent="0.3">
      <c r="A20" s="5" t="s">
        <v>14</v>
      </c>
      <c r="B20" s="5">
        <f>SUM('WhatsApp Data'!O2:O111)</f>
        <v>1</v>
      </c>
      <c r="C20" s="6">
        <f t="shared" si="0"/>
        <v>9.0909090909090905E-3</v>
      </c>
    </row>
    <row r="21" spans="1:3" x14ac:dyDescent="0.3">
      <c r="A21" s="5" t="s">
        <v>15</v>
      </c>
      <c r="B21" s="5">
        <f>SUM('WhatsApp Data'!P2:P111)</f>
        <v>0.47</v>
      </c>
      <c r="C21" s="6">
        <f t="shared" si="0"/>
        <v>4.2727272727272727E-3</v>
      </c>
    </row>
    <row r="22" spans="1:3" x14ac:dyDescent="0.3">
      <c r="A22" s="5" t="s">
        <v>16</v>
      </c>
      <c r="B22" s="5">
        <f>SUM('WhatsApp Data'!Q2:Q111)</f>
        <v>5</v>
      </c>
      <c r="C22" s="6">
        <f t="shared" si="0"/>
        <v>4.5454545454545456E-2</v>
      </c>
    </row>
    <row r="23" spans="1:3" x14ac:dyDescent="0.3">
      <c r="A23" s="5" t="s">
        <v>17</v>
      </c>
      <c r="B23" s="5">
        <f>SUM('WhatsApp Data'!R2:R111)</f>
        <v>2</v>
      </c>
      <c r="C23" s="6">
        <f t="shared" si="0"/>
        <v>1.8181818181818181E-2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1</v>
      </c>
      <c r="C25" s="6">
        <f t="shared" si="0"/>
        <v>9.0909090909090905E-3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1</v>
      </c>
      <c r="C27" s="6">
        <f t="shared" si="0"/>
        <v>9.0909090909090905E-3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1</v>
      </c>
      <c r="C29" s="6">
        <f t="shared" si="0"/>
        <v>9.0909090909090905E-3</v>
      </c>
    </row>
    <row r="30" spans="1:3" x14ac:dyDescent="0.3">
      <c r="A30" s="5" t="s">
        <v>24</v>
      </c>
      <c r="B30" s="5">
        <f>SUM('WhatsApp Data'!Y2:Y111)</f>
        <v>2</v>
      </c>
      <c r="C30" s="6">
        <f t="shared" si="0"/>
        <v>1.8181818181818181E-2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5</v>
      </c>
      <c r="C32" s="6">
        <f t="shared" si="0"/>
        <v>4.5454545454545456E-2</v>
      </c>
    </row>
    <row r="33" spans="1:3" x14ac:dyDescent="0.3">
      <c r="A33" s="5" t="s">
        <v>27</v>
      </c>
      <c r="B33" s="5">
        <f>SUM('WhatsApp Data'!AB2:AB111)</f>
        <v>5</v>
      </c>
      <c r="C33" s="6">
        <f t="shared" si="0"/>
        <v>4.5454545454545456E-2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2026-10-11T18:55:35Z</dcterms:modified>
  <dc:language>en-US</dc:language>
</cp:coreProperties>
</file>