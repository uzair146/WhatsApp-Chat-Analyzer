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CEEB815-F339-4DC4-9B69-DBF7060EFF21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<sst xmlns="http://schemas.openxmlformats.org/spreadsheetml/2006/main" count="92" uniqueCount="40">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</sst>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93" activePane="bottomRight" state="frozen"/>
      <selection pane="topRight" activeCell="C1" sqref="C1"/>
      <selection pane="bottomLeft" activeCell="A2" sqref="A2"/>
      <selection pane="bottomRight" activeCell="D117" sqref="D117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>
        <v>30</v>
      </c>
      <c r="D9" s="3">
        <v>13</v>
      </c>
      <c r="E9" s="3">
        <v>17</v>
      </c>
      <c r="F9" s="3" t="s">
        <v>38</v>
      </c>
      <c r="G9" s="3" t="s">
        <v>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>
        <v>90</v>
      </c>
      <c r="D10" s="3">
        <v>37</v>
      </c>
      <c r="E10" s="3">
        <v>53</v>
      </c>
      <c r="F10" s="3" t="s">
        <v>38</v>
      </c>
      <c r="G10" s="3" t="s">
        <v>38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>
        <v>1</v>
      </c>
      <c r="U10" s="3"/>
      <c r="V10" s="3"/>
      <c r="W10" s="3"/>
      <c r="X10" s="3"/>
      <c r="Y10" s="3">
        <v>1</v>
      </c>
      <c r="Z10" s="3"/>
      <c r="AA10" s="3">
        <v>4</v>
      </c>
      <c r="AB10" s="3">
        <v>1</v>
      </c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>
        <v>9</v>
      </c>
      <c r="D18" s="3">
        <v>5</v>
      </c>
      <c r="E18" s="3">
        <v>4</v>
      </c>
      <c r="F18" s="3" t="s">
        <v>39</v>
      </c>
      <c r="G18" s="3" t="s">
        <v>39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14</v>
      </c>
      <c r="D19" s="3">
        <v>8</v>
      </c>
      <c r="E19" s="3">
        <v>6</v>
      </c>
      <c r="F19" s="3" t="s">
        <v>39</v>
      </c>
      <c r="G19" s="3" t="s">
        <v>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20</v>
      </c>
      <c r="D37" s="3">
        <v>12</v>
      </c>
      <c r="E37" s="3">
        <v>8</v>
      </c>
      <c r="F37" s="3" t="s">
        <v>39</v>
      </c>
      <c r="G37" s="3" t="s">
        <v>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>
        <v>9</v>
      </c>
      <c r="D38" s="3">
        <v>6</v>
      </c>
      <c r="E38" s="3">
        <v>3</v>
      </c>
      <c r="F38" s="3" t="s">
        <v>39</v>
      </c>
      <c r="G38" s="3" t="s">
        <v>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4</v>
      </c>
      <c r="D53" s="3">
        <v>3</v>
      </c>
      <c r="E53" s="3">
        <v>1</v>
      </c>
      <c r="F53" s="3" t="s">
        <v>39</v>
      </c>
      <c r="G53" s="3" t="s">
        <v>39</v>
      </c>
      <c r="H53" s="3"/>
      <c r="I53" s="3"/>
      <c r="J53" s="3"/>
      <c r="K53" s="3"/>
      <c r="L53" s="3">
        <v>2</v>
      </c>
      <c r="M53" s="3">
        <v>1</v>
      </c>
      <c r="N53" s="3"/>
      <c r="O53" s="3">
        <v>1</v>
      </c>
      <c r="P53" s="3">
        <v>1.48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>
        <v>2</v>
      </c>
      <c r="D54" s="3">
        <v>1</v>
      </c>
      <c r="E54" s="3">
        <v>1</v>
      </c>
      <c r="F54" s="3" t="s">
        <v>39</v>
      </c>
      <c r="G54" s="3" t="s">
        <v>38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>
        <v>2</v>
      </c>
      <c r="D62" s="3">
        <v>1</v>
      </c>
      <c r="E62" s="3">
        <v>1</v>
      </c>
      <c r="F62" s="3" t="s">
        <v>38</v>
      </c>
      <c r="G62" s="3" t="s">
        <v>39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15</v>
      </c>
      <c r="D77" s="3">
        <v>7</v>
      </c>
      <c r="E77" s="3">
        <v>8</v>
      </c>
      <c r="F77" s="3" t="s">
        <v>38</v>
      </c>
      <c r="G77" s="3" t="s">
        <v>39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>
        <v>1</v>
      </c>
      <c r="T77" s="3"/>
      <c r="U77" s="3"/>
      <c r="V77" s="3"/>
      <c r="W77" s="3"/>
      <c r="X77" s="3"/>
      <c r="Y77" s="3"/>
      <c r="Z77" s="3"/>
      <c r="AA77" s="3">
        <v>1</v>
      </c>
      <c r="AB77" s="3"/>
    </row>
    <row r="78" spans="1:28" x14ac:dyDescent="0.3">
      <c r="A78" s="2">
        <v>46117</v>
      </c>
      <c r="B78" s="3" t="str">
        <f t="shared" si="2"/>
        <v>Sun</v>
      </c>
      <c r="C78" s="3">
        <v>5</v>
      </c>
      <c r="D78" s="3">
        <v>1</v>
      </c>
      <c r="E78" s="3">
        <v>4</v>
      </c>
      <c r="F78" s="3" t="s">
        <v>38</v>
      </c>
      <c r="G78" s="3" t="s">
        <v>38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8</v>
      </c>
      <c r="D93" s="3">
        <v>4</v>
      </c>
      <c r="E93" s="3">
        <v>4</v>
      </c>
      <c r="F93" s="3" t="s">
        <v>39</v>
      </c>
      <c r="G93" s="3" t="s">
        <v>39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1</v>
      </c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>
        <v>5</v>
      </c>
      <c r="D99" s="3">
        <v>4</v>
      </c>
      <c r="E99" s="3">
        <v>1</v>
      </c>
      <c r="F99" s="3" t="s">
        <v>39</v>
      </c>
      <c r="G99" s="3" t="s">
        <v>39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>
        <v>21</v>
      </c>
      <c r="D100" s="3">
        <v>18</v>
      </c>
      <c r="E100" s="3">
        <v>3</v>
      </c>
      <c r="F100" s="3" t="s">
        <v>39</v>
      </c>
      <c r="G100" s="3" t="s">
        <v>39</v>
      </c>
      <c r="H100" s="3"/>
      <c r="I100" s="3"/>
      <c r="J100" s="3"/>
      <c r="K100" s="3"/>
      <c r="L100" s="3"/>
      <c r="M100" s="3"/>
      <c r="N100" s="3"/>
      <c r="O100" s="3"/>
      <c r="P100" s="3"/>
      <c r="Q100" s="3">
        <v>8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>
        <v>12</v>
      </c>
      <c r="D101" s="3">
        <v>5</v>
      </c>
      <c r="E101" s="3">
        <v>7</v>
      </c>
      <c r="F101" s="3" t="s">
        <v>39</v>
      </c>
      <c r="G101" s="3" t="s">
        <v>39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15</v>
      </c>
      <c r="C3" s="5"/>
    </row>
    <row r="4" spans="1:3" x14ac:dyDescent="0.3">
      <c r="A4" s="5" t="s">
        <v>31</v>
      </c>
      <c r="B4" s="5">
        <f>COUNTIF('WhatsApp Data'!F2:F111,"Me")</f>
        <v>10</v>
      </c>
      <c r="C4" s="5"/>
    </row>
    <row r="5" spans="1:3" x14ac:dyDescent="0.3">
      <c r="A5" s="5" t="s">
        <v>32</v>
      </c>
      <c r="B5" s="5">
        <f>COUNTIF('WhatsApp Data'!F2:F111,"You")</f>
        <v>5</v>
      </c>
      <c r="C5" s="5"/>
    </row>
    <row r="6" spans="1:3" x14ac:dyDescent="0.3">
      <c r="A6" s="5" t="s">
        <v>33</v>
      </c>
      <c r="B6" s="5">
        <f>COUNTIF('WhatsApp Data'!G2:G111,"Me")</f>
        <v>11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246</v>
      </c>
      <c r="C10" s="6">
        <f t="shared" ref="C10:C33" si="0">IFERROR(B10/$B$2,0)</f>
        <v>2.2363636363636363</v>
      </c>
    </row>
    <row r="11" spans="1:3" x14ac:dyDescent="0.3">
      <c r="A11" s="5" t="s">
        <v>3</v>
      </c>
      <c r="B11" s="5">
        <f>SUM('WhatsApp Data'!D2:D111)</f>
        <v>125</v>
      </c>
      <c r="C11" s="6">
        <f t="shared" si="0"/>
        <v>1.1363636363636365</v>
      </c>
    </row>
    <row r="12" spans="1:3" x14ac:dyDescent="0.3">
      <c r="A12" s="5" t="s">
        <v>4</v>
      </c>
      <c r="B12" s="5">
        <f>SUM('WhatsApp Data'!E2:E111)</f>
        <v>121</v>
      </c>
      <c r="C12" s="6">
        <f t="shared" si="0"/>
        <v>1.1000000000000001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2</v>
      </c>
      <c r="C17" s="6">
        <f t="shared" si="0"/>
        <v>1.8181818181818181E-2</v>
      </c>
    </row>
    <row r="18" spans="1:3" x14ac:dyDescent="0.3">
      <c r="A18" s="5" t="s">
        <v>12</v>
      </c>
      <c r="B18" s="5">
        <f>SUM('WhatsApp Data'!M2:M111)</f>
        <v>1</v>
      </c>
      <c r="C18" s="6">
        <f t="shared" si="0"/>
        <v>9.0909090909090905E-3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1</v>
      </c>
      <c r="C20" s="6">
        <f t="shared" si="0"/>
        <v>9.0909090909090905E-3</v>
      </c>
    </row>
    <row r="21" spans="1:3" x14ac:dyDescent="0.3">
      <c r="A21" s="5" t="s">
        <v>15</v>
      </c>
      <c r="B21" s="5">
        <f>SUM('WhatsApp Data'!P2:P111)</f>
        <v>1.48</v>
      </c>
      <c r="C21" s="6">
        <f t="shared" si="0"/>
        <v>1.3454545454545455E-2</v>
      </c>
    </row>
    <row r="22" spans="1:3" x14ac:dyDescent="0.3">
      <c r="A22" s="5" t="s">
        <v>16</v>
      </c>
      <c r="B22" s="5">
        <f>SUM('WhatsApp Data'!Q2:Q111)</f>
        <v>8</v>
      </c>
      <c r="C22" s="6">
        <f t="shared" si="0"/>
        <v>7.2727272727272724E-2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2</v>
      </c>
      <c r="C24" s="6">
        <f t="shared" si="0"/>
        <v>1.8181818181818181E-2</v>
      </c>
    </row>
    <row r="25" spans="1:3" x14ac:dyDescent="0.3">
      <c r="A25" s="5" t="s">
        <v>19</v>
      </c>
      <c r="B25" s="5">
        <f>SUM('WhatsApp Data'!T2:T111)</f>
        <v>2</v>
      </c>
      <c r="C25" s="6">
        <f t="shared" si="0"/>
        <v>1.8181818181818181E-2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5</v>
      </c>
      <c r="C32" s="6">
        <f t="shared" si="0"/>
        <v>4.5454545454545456E-2</v>
      </c>
    </row>
    <row r="33" spans="1:3" x14ac:dyDescent="0.3">
      <c r="A33" s="5" t="s">
        <v>27</v>
      </c>
      <c r="B33" s="5">
        <f>SUM('WhatsApp Data'!AB2:AB111)</f>
        <v>2</v>
      </c>
      <c r="C33" s="6">
        <f t="shared" si="0"/>
        <v>1.8181818181818181E-2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2026-10-20T19:20:20Z</dcterms:modified>
  <dc:language>en-US</dc:language>
</cp:coreProperties>
</file>