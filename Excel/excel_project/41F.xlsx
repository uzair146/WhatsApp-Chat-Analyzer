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AF950CB-B722-4C5B-A6F5-998211248A5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<sst xmlns="http://schemas.openxmlformats.org/spreadsheetml/2006/main" count="96" uniqueCount="40">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</sst>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3" activePane="bottomRight" state="frozen"/>
      <selection pane="topRight" activeCell="C1" sqref="C1"/>
      <selection pane="bottomLeft" activeCell="A2" sqref="A2"/>
      <selection pane="bottomRight" activeCell="P92" sqref="P9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8</v>
      </c>
      <c r="D11" s="3">
        <v>7</v>
      </c>
      <c r="E11" s="3">
        <v>1</v>
      </c>
      <c r="F11" s="3" t="s">
        <v>38</v>
      </c>
      <c r="G11" s="3" t="s">
        <v>39</v>
      </c>
      <c r="H11" s="3"/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2</v>
      </c>
      <c r="D12" s="3">
        <v>1</v>
      </c>
      <c r="E12" s="3">
        <v>1</v>
      </c>
      <c r="F12" s="3" t="s">
        <v>39</v>
      </c>
      <c r="G12" s="3" t="s">
        <v>38</v>
      </c>
      <c r="H12" s="3"/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14</v>
      </c>
      <c r="D16" s="3">
        <v>8</v>
      </c>
      <c r="E16" s="3">
        <v>6</v>
      </c>
      <c r="F16" s="3" t="s">
        <v>38</v>
      </c>
      <c r="G16" s="3" t="s">
        <v>39</v>
      </c>
      <c r="H16" s="3"/>
      <c r="I16" s="3"/>
      <c r="J16" s="3"/>
      <c r="K16" s="3"/>
      <c r="L16" s="3">
        <v>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>
        <v>2</v>
      </c>
      <c r="D21" s="3">
        <v>1</v>
      </c>
      <c r="E21" s="3">
        <v>1</v>
      </c>
      <c r="F21" s="3" t="s">
        <v>38</v>
      </c>
      <c r="G21" s="3" t="s">
        <v>39</v>
      </c>
      <c r="H21" s="3"/>
      <c r="I21" s="3"/>
      <c r="J21" s="3"/>
      <c r="K21" s="3"/>
      <c r="L21" s="3">
        <v>1</v>
      </c>
      <c r="M21" s="3">
        <v>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3</v>
      </c>
      <c r="D28" s="3"/>
      <c r="E28" s="3">
        <v>3</v>
      </c>
      <c r="F28" s="3" t="s">
        <v>39</v>
      </c>
      <c r="G28" s="3" t="s">
        <v>39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4</v>
      </c>
      <c r="D29" s="3">
        <v>4</v>
      </c>
      <c r="E29" s="3"/>
      <c r="F29" s="3" t="s">
        <v>38</v>
      </c>
      <c r="G29" s="3" t="s">
        <v>38</v>
      </c>
      <c r="H29" s="3"/>
      <c r="I29" s="3"/>
      <c r="J29" s="3">
        <v>2</v>
      </c>
      <c r="K29" s="3"/>
      <c r="L29" s="3"/>
      <c r="M29" s="3"/>
      <c r="N29" s="3"/>
      <c r="O29" s="3"/>
      <c r="P29" s="3"/>
      <c r="Q29" s="3">
        <v>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</v>
      </c>
      <c r="D44" s="3"/>
      <c r="E44" s="3">
        <v>1</v>
      </c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/>
      <c r="O44" s="3">
        <v>1</v>
      </c>
      <c r="P44" s="3">
        <v>11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16</v>
      </c>
      <c r="D49" s="3">
        <v>8</v>
      </c>
      <c r="E49" s="3">
        <v>8</v>
      </c>
      <c r="F49" s="3" t="s">
        <v>39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1</v>
      </c>
      <c r="D58" s="3">
        <v>1</v>
      </c>
      <c r="E58" s="3"/>
      <c r="F58" s="3" t="s">
        <v>38</v>
      </c>
      <c r="G58" s="3" t="s">
        <v>38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2</v>
      </c>
      <c r="D60" s="3">
        <v>1</v>
      </c>
      <c r="E60" s="3">
        <v>1</v>
      </c>
      <c r="F60" s="3" t="s">
        <v>39</v>
      </c>
      <c r="G60" s="3" t="s">
        <v>38</v>
      </c>
      <c r="H60" s="3"/>
      <c r="I60" s="3"/>
      <c r="J60" s="3"/>
      <c r="K60" s="3"/>
      <c r="L60" s="3"/>
      <c r="M60" s="3"/>
      <c r="N60" s="3">
        <v>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1</v>
      </c>
      <c r="D64" s="3"/>
      <c r="E64" s="3">
        <v>1</v>
      </c>
      <c r="F64" s="3" t="s">
        <v>39</v>
      </c>
      <c r="G64" s="3" t="s">
        <v>39</v>
      </c>
      <c r="H64" s="3"/>
      <c r="I64" s="3"/>
      <c r="J64" s="3"/>
      <c r="K64" s="3"/>
      <c r="L64" s="3"/>
      <c r="M64" s="3"/>
      <c r="N64" s="3"/>
      <c r="O64" s="3">
        <v>1</v>
      </c>
      <c r="P64" s="3">
        <v>41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3</v>
      </c>
      <c r="D67" s="3"/>
      <c r="E67" s="3">
        <v>3</v>
      </c>
      <c r="F67" s="3" t="s">
        <v>39</v>
      </c>
      <c r="G67" s="3" t="s">
        <v>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</v>
      </c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5</v>
      </c>
      <c r="D74" s="3">
        <v>2</v>
      </c>
      <c r="E74" s="3">
        <v>3</v>
      </c>
      <c r="F74" s="3" t="s">
        <v>39</v>
      </c>
      <c r="G74" s="3" t="s">
        <v>39</v>
      </c>
      <c r="H74" s="3"/>
      <c r="I74" s="3"/>
      <c r="J74" s="3"/>
      <c r="K74" s="3">
        <v>1</v>
      </c>
      <c r="L74" s="3"/>
      <c r="M74" s="3"/>
      <c r="N74" s="3">
        <v>1</v>
      </c>
      <c r="O74" s="3"/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5</v>
      </c>
      <c r="D76" s="3"/>
      <c r="E76" s="3">
        <v>5</v>
      </c>
      <c r="F76" s="3" t="s">
        <v>39</v>
      </c>
      <c r="G76" s="3" t="s">
        <v>39</v>
      </c>
      <c r="H76" s="3"/>
      <c r="I76" s="3"/>
      <c r="J76" s="3"/>
      <c r="K76" s="3"/>
      <c r="L76" s="3"/>
      <c r="M76" s="3"/>
      <c r="N76" s="3"/>
      <c r="O76" s="3">
        <v>5</v>
      </c>
      <c r="P76" s="3">
        <v>9.5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4</v>
      </c>
      <c r="D80" s="3">
        <v>3</v>
      </c>
      <c r="E80" s="3">
        <v>1</v>
      </c>
      <c r="F80" s="3" t="s">
        <v>38</v>
      </c>
      <c r="G80" s="3" t="s">
        <v>39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>
        <v>3</v>
      </c>
      <c r="D91" s="3">
        <v>1</v>
      </c>
      <c r="E91" s="3">
        <v>2</v>
      </c>
      <c r="F91" s="3" t="s">
        <v>39</v>
      </c>
      <c r="G91" s="3" t="s">
        <v>39</v>
      </c>
      <c r="H91" s="3"/>
      <c r="I91" s="3"/>
      <c r="J91" s="3"/>
      <c r="K91" s="3"/>
      <c r="L91" s="3"/>
      <c r="M91" s="3"/>
      <c r="N91" s="3">
        <v>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2</v>
      </c>
      <c r="D92" s="3"/>
      <c r="E92" s="3">
        <v>2</v>
      </c>
      <c r="F92" s="3" t="s">
        <v>39</v>
      </c>
      <c r="G92" s="3" t="s">
        <v>39</v>
      </c>
      <c r="H92" s="3"/>
      <c r="I92" s="3"/>
      <c r="J92" s="3"/>
      <c r="K92" s="3"/>
      <c r="L92" s="3"/>
      <c r="M92" s="3"/>
      <c r="N92" s="3">
        <v>1</v>
      </c>
      <c r="O92" s="3">
        <v>1</v>
      </c>
      <c r="P92" s="3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17</v>
      </c>
      <c r="C3" s="5"/>
    </row>
    <row r="4" spans="1:3" x14ac:dyDescent="0.3">
      <c r="A4" s="5" t="s">
        <v>31</v>
      </c>
      <c r="B4" s="5">
        <f>COUNTIF('WhatsApp Data'!F2:F111,"Me")</f>
        <v>6</v>
      </c>
      <c r="C4" s="5"/>
    </row>
    <row r="5" spans="1:3" x14ac:dyDescent="0.3">
      <c r="A5" s="5" t="s">
        <v>32</v>
      </c>
      <c r="B5" s="5">
        <f>COUNTIF('WhatsApp Data'!F2:F111,"You")</f>
        <v>11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12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76</v>
      </c>
      <c r="C10" s="6">
        <f t="shared" ref="C10:C33" si="0">IFERROR(B10/$B$2,0)</f>
        <v>0.69090909090909092</v>
      </c>
    </row>
    <row r="11" spans="1:3" x14ac:dyDescent="0.3">
      <c r="A11" s="5" t="s">
        <v>3</v>
      </c>
      <c r="B11" s="5">
        <f>SUM('WhatsApp Data'!D2:D111)</f>
        <v>37</v>
      </c>
      <c r="C11" s="6">
        <f t="shared" si="0"/>
        <v>0.33636363636363636</v>
      </c>
    </row>
    <row r="12" spans="1:3" x14ac:dyDescent="0.3">
      <c r="A12" s="5" t="s">
        <v>4</v>
      </c>
      <c r="B12" s="5">
        <f>SUM('WhatsApp Data'!E2:E111)</f>
        <v>39</v>
      </c>
      <c r="C12" s="6">
        <f t="shared" si="0"/>
        <v>0.35454545454545455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3</v>
      </c>
      <c r="C16" s="6">
        <f t="shared" si="0"/>
        <v>2.7272727272727271E-2</v>
      </c>
    </row>
    <row r="17" spans="1:3" x14ac:dyDescent="0.3">
      <c r="A17" s="5" t="s">
        <v>11</v>
      </c>
      <c r="B17" s="5">
        <f>SUM('WhatsApp Data'!L2:L111)</f>
        <v>2</v>
      </c>
      <c r="C17" s="6">
        <f t="shared" si="0"/>
        <v>1.8181818181818181E-2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4</v>
      </c>
      <c r="C19" s="6">
        <f t="shared" si="0"/>
        <v>3.6363636363636362E-2</v>
      </c>
    </row>
    <row r="20" spans="1:3" x14ac:dyDescent="0.3">
      <c r="A20" s="5" t="s">
        <v>14</v>
      </c>
      <c r="B20" s="5">
        <f>SUM('WhatsApp Data'!O2:O111)</f>
        <v>8</v>
      </c>
      <c r="C20" s="6">
        <f t="shared" si="0"/>
        <v>7.2727272727272724E-2</v>
      </c>
    </row>
    <row r="21" spans="1:3" x14ac:dyDescent="0.3">
      <c r="A21" s="5" t="s">
        <v>15</v>
      </c>
      <c r="B21" s="5">
        <f>SUM('WhatsApp Data'!P2:P111)</f>
        <v>88.5</v>
      </c>
      <c r="C21" s="6">
        <f t="shared" si="0"/>
        <v>0.80454545454545456</v>
      </c>
    </row>
    <row r="22" spans="1:3" x14ac:dyDescent="0.3">
      <c r="A22" s="5" t="s">
        <v>16</v>
      </c>
      <c r="B22" s="5">
        <f>SUM('WhatsApp Data'!Q2:Q111)</f>
        <v>2</v>
      </c>
      <c r="C22" s="6">
        <f t="shared" si="0"/>
        <v>1.8181818181818181E-2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5</v>
      </c>
      <c r="C27" s="6">
        <f t="shared" si="0"/>
        <v>4.5454545454545456E-2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</v>
      </c>
      <c r="C32" s="6">
        <f t="shared" si="0"/>
        <v>9.0909090909090905E-3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2026-10-07T19:05:39Z</dcterms:modified>
  <dc:language>en-US</dc:language>
</cp:coreProperties>
</file>