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E96A3460-E706-4FB7-ABD6-BB0B3D838670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B12" i="2"/>
  <c r="C12" i="2" s="1"/>
  <c r="B11" i="2"/>
  <c r="C11" i="2" s="1"/>
  <c r="B10" i="2"/>
  <c r="C10" i="2" s="1"/>
  <c r="B7" i="2"/>
  <c r="B6" i="2"/>
  <c r="B5" i="2"/>
  <c r="B4" i="2"/>
  <c r="B3" i="2"/>
  <c r="B2" i="2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C13" i="2" l="1"/>
</calcChain>
</file>

<file path=xl/sharedStrings.xml><?xml version="1.0" encoding="utf-8"?>
<sst xmlns="http://schemas.openxmlformats.org/spreadsheetml/2006/main" count="112" uniqueCount="40">
  <si>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</si>
  <si>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</si>
  <si>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</si>
  <si>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</si>
  <si>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</si>
  <si>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</si>
  <si>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</si>
  <si>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</si>
  <si>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</si>
  <si>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</si>
  <si>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</si>
  <si>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</si>
  <si>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</si>
  <si>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</si>
  <si>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</si>
  <si>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</si>
  <si>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</si>
  <si>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</si>
  <si>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</si>
  <si>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</si>
  <si>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</si>
  <si>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</si>
  <si>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</si>
  <si>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</si>
  <si>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</si>
  <si>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</si>
  <si>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</si>
  <si>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</si>
  <si>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</si>
  <si>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</si>
  <si>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</si>
  <si>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</si>
  <si>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</si>
  <si>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</si>
  <si>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</si>
  <si>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</si>
  <si>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</si>
  <si>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</si>
  <si>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Me</t>
  </si>
  <si>
    <t>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</si>
</sst>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tabSelected="1" zoomScaleNormal="100" workbookViewId="0">
      <pane xSplit="2" ySplit="1" topLeftCell="G2" activePane="bottomRight" state="frozen"/>
      <selection pane="topRight" activeCell="C1" sqref="C1"/>
      <selection pane="bottomLeft" activeCell="A2" sqref="A2"/>
      <selection pane="bottomRight" activeCell="O1" sqref="O1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>
        <v>1</v>
      </c>
      <c r="D13" s="3">
        <v>1</v>
      </c>
      <c r="E13" s="3"/>
      <c r="F13" s="3" t="s">
        <v>38</v>
      </c>
      <c r="G13" s="3" t="s">
        <v>38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>
        <v>8</v>
      </c>
      <c r="D14" s="3">
        <v>7</v>
      </c>
      <c r="E14" s="3">
        <v>1</v>
      </c>
      <c r="F14" s="3" t="s">
        <v>38</v>
      </c>
      <c r="G14" s="3" t="s">
        <v>38</v>
      </c>
      <c r="H14" s="3"/>
      <c r="I14" s="3"/>
      <c r="J14" s="3"/>
      <c r="K14" s="3">
        <v>1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>
        <v>5</v>
      </c>
      <c r="D15" s="3">
        <v>4</v>
      </c>
      <c r="E15" s="3">
        <v>1</v>
      </c>
      <c r="F15" s="3" t="s">
        <v>38</v>
      </c>
      <c r="G15" s="3" t="s">
        <v>38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>
        <v>1</v>
      </c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>
        <v>14</v>
      </c>
      <c r="D24" s="3">
        <v>7</v>
      </c>
      <c r="E24" s="3">
        <v>7</v>
      </c>
      <c r="F24" s="3" t="s">
        <v>39</v>
      </c>
      <c r="G24" s="3" t="s">
        <v>38</v>
      </c>
      <c r="H24" s="3"/>
      <c r="I24" s="3"/>
      <c r="J24" s="3">
        <v>1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>
        <v>6</v>
      </c>
      <c r="AB24" s="3"/>
    </row>
    <row r="25" spans="1:28" x14ac:dyDescent="0.3">
      <c r="A25" s="2">
        <v>46064</v>
      </c>
      <c r="B25" s="3" t="str">
        <f t="shared" si="0"/>
        <v>Wed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>
        <v>19</v>
      </c>
      <c r="D27" s="3">
        <v>14</v>
      </c>
      <c r="E27" s="3">
        <v>5</v>
      </c>
      <c r="F27" s="3" t="s">
        <v>38</v>
      </c>
      <c r="G27" s="3" t="s">
        <v>39</v>
      </c>
      <c r="H27" s="3"/>
      <c r="I27" s="3"/>
      <c r="J27" s="3"/>
      <c r="K27" s="3"/>
      <c r="L27" s="3"/>
      <c r="M27" s="3"/>
      <c r="N27" s="3"/>
      <c r="O27" s="3"/>
      <c r="P27" s="3"/>
      <c r="Q27" s="3">
        <v>1</v>
      </c>
      <c r="R27" s="3"/>
      <c r="S27" s="3">
        <v>4</v>
      </c>
      <c r="T27" s="3">
        <v>1</v>
      </c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>
        <v>11</v>
      </c>
      <c r="D28" s="3">
        <v>9</v>
      </c>
      <c r="E28" s="3">
        <v>2</v>
      </c>
      <c r="F28" s="3" t="s">
        <v>38</v>
      </c>
      <c r="G28" s="3" t="s">
        <v>39</v>
      </c>
      <c r="H28" s="3">
        <v>3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>
        <v>1</v>
      </c>
      <c r="T28" s="3">
        <v>1</v>
      </c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>
        <v>4</v>
      </c>
      <c r="D29" s="3">
        <v>2</v>
      </c>
      <c r="E29" s="3">
        <v>2</v>
      </c>
      <c r="F29" s="3" t="s">
        <v>38</v>
      </c>
      <c r="G29" s="3" t="s">
        <v>38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>
        <v>1</v>
      </c>
    </row>
    <row r="30" spans="1:28" x14ac:dyDescent="0.3">
      <c r="A30" s="2">
        <v>46069</v>
      </c>
      <c r="B30" s="3" t="str">
        <f t="shared" si="0"/>
        <v>Mon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>
        <v>5</v>
      </c>
      <c r="D42" s="3">
        <v>2</v>
      </c>
      <c r="E42" s="3">
        <v>3</v>
      </c>
      <c r="F42" s="3" t="s">
        <v>38</v>
      </c>
      <c r="G42" s="3" t="s">
        <v>38</v>
      </c>
      <c r="H42" s="3"/>
      <c r="I42" s="3"/>
      <c r="J42" s="3">
        <v>1</v>
      </c>
      <c r="K42" s="3"/>
      <c r="L42" s="3"/>
      <c r="M42" s="3"/>
      <c r="N42" s="3"/>
      <c r="O42" s="3"/>
      <c r="P42" s="3"/>
      <c r="Q42" s="3"/>
      <c r="R42" s="3"/>
      <c r="S42" s="3">
        <v>1</v>
      </c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>
        <v>4</v>
      </c>
      <c r="D44" s="3">
        <v>3</v>
      </c>
      <c r="E44" s="3">
        <v>1</v>
      </c>
      <c r="F44" s="3" t="s">
        <v>39</v>
      </c>
      <c r="G44" s="3" t="s">
        <v>38</v>
      </c>
      <c r="H44" s="3"/>
      <c r="I44" s="3"/>
      <c r="J44" s="3">
        <v>2</v>
      </c>
      <c r="K44" s="3"/>
      <c r="L44" s="3"/>
      <c r="M44" s="3"/>
      <c r="N44" s="3"/>
      <c r="O44" s="3"/>
      <c r="P44" s="3"/>
      <c r="Q44" s="3">
        <v>1</v>
      </c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>
        <v>31</v>
      </c>
      <c r="D45" s="3">
        <v>22</v>
      </c>
      <c r="E45" s="3">
        <v>9</v>
      </c>
      <c r="F45" s="3" t="s">
        <v>38</v>
      </c>
      <c r="G45" s="3" t="s">
        <v>38</v>
      </c>
      <c r="H45" s="3"/>
      <c r="I45" s="3"/>
      <c r="J45" s="3"/>
      <c r="K45" s="3"/>
      <c r="L45" s="3"/>
      <c r="M45" s="3"/>
      <c r="N45" s="3"/>
      <c r="O45" s="3"/>
      <c r="P45" s="3"/>
      <c r="Q45" s="3">
        <v>2</v>
      </c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>
        <v>31</v>
      </c>
      <c r="D46" s="3">
        <v>19</v>
      </c>
      <c r="E46" s="3">
        <v>12</v>
      </c>
      <c r="F46" s="3" t="s">
        <v>38</v>
      </c>
      <c r="G46" s="3" t="s">
        <v>38</v>
      </c>
      <c r="H46" s="3">
        <v>4</v>
      </c>
      <c r="I46" s="3"/>
      <c r="J46" s="3">
        <v>1</v>
      </c>
      <c r="K46" s="3"/>
      <c r="L46" s="3"/>
      <c r="M46" s="3"/>
      <c r="N46" s="3"/>
      <c r="O46" s="3"/>
      <c r="P46" s="3"/>
      <c r="Q46" s="3"/>
      <c r="R46" s="3"/>
      <c r="S46" s="3">
        <v>1</v>
      </c>
      <c r="T46" s="3">
        <v>4</v>
      </c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>
        <v>11</v>
      </c>
      <c r="D48" s="3">
        <v>6</v>
      </c>
      <c r="E48" s="3">
        <v>5</v>
      </c>
      <c r="F48" s="3" t="s">
        <v>38</v>
      </c>
      <c r="G48" s="3" t="s">
        <v>38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>
        <v>7</v>
      </c>
      <c r="D49" s="3">
        <v>3</v>
      </c>
      <c r="E49" s="3">
        <v>4</v>
      </c>
      <c r="F49" s="3" t="s">
        <v>38</v>
      </c>
      <c r="G49" s="3" t="s">
        <v>38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>
        <v>1</v>
      </c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>
        <v>15</v>
      </c>
      <c r="D53" s="3">
        <v>7</v>
      </c>
      <c r="E53" s="3">
        <v>8</v>
      </c>
      <c r="F53" s="3" t="s">
        <v>39</v>
      </c>
      <c r="G53" s="3" t="s">
        <v>39</v>
      </c>
      <c r="H53" s="3"/>
      <c r="I53" s="3"/>
      <c r="J53" s="3"/>
      <c r="K53" s="3"/>
      <c r="L53" s="3"/>
      <c r="M53" s="3">
        <v>2</v>
      </c>
      <c r="N53" s="3"/>
      <c r="O53" s="3"/>
      <c r="P53" s="3">
        <v>0.32</v>
      </c>
      <c r="Q53" s="3"/>
      <c r="R53" s="3"/>
      <c r="S53" s="3">
        <v>1</v>
      </c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>
        <v>45</v>
      </c>
      <c r="D55" s="3">
        <v>27</v>
      </c>
      <c r="E55" s="3">
        <v>18</v>
      </c>
      <c r="F55" s="3" t="s">
        <v>39</v>
      </c>
      <c r="G55" s="3" t="s">
        <v>38</v>
      </c>
      <c r="H55" s="3"/>
      <c r="I55" s="3"/>
      <c r="J55" s="3">
        <v>5</v>
      </c>
      <c r="K55" s="3"/>
      <c r="L55" s="3"/>
      <c r="M55" s="3">
        <v>1</v>
      </c>
      <c r="N55" s="3"/>
      <c r="O55" s="3"/>
      <c r="P55" s="3">
        <v>0.05</v>
      </c>
      <c r="Q55" s="3">
        <v>1</v>
      </c>
      <c r="R55" s="3"/>
      <c r="S55" s="3">
        <v>1</v>
      </c>
      <c r="T55" s="3"/>
      <c r="U55" s="3"/>
      <c r="V55" s="3"/>
      <c r="W55" s="3"/>
      <c r="X55" s="3"/>
      <c r="Y55" s="3"/>
      <c r="Z55" s="3"/>
      <c r="AA55" s="3">
        <v>2</v>
      </c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>
        <v>7</v>
      </c>
      <c r="D69" s="3">
        <v>4</v>
      </c>
      <c r="E69" s="3">
        <v>3</v>
      </c>
      <c r="F69" s="3" t="s">
        <v>38</v>
      </c>
      <c r="G69" s="3" t="s">
        <v>38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1</v>
      </c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>
        <v>4</v>
      </c>
      <c r="D77" s="3">
        <v>2</v>
      </c>
      <c r="E77" s="3">
        <v>2</v>
      </c>
      <c r="F77" s="3" t="s">
        <v>38</v>
      </c>
      <c r="G77" s="3" t="s">
        <v>38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>
        <v>3</v>
      </c>
      <c r="D90" s="3">
        <v>3</v>
      </c>
      <c r="E90" s="3"/>
      <c r="F90" s="3" t="s">
        <v>38</v>
      </c>
      <c r="G90" s="3" t="s">
        <v>38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>
        <v>1</v>
      </c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>
        <v>7</v>
      </c>
      <c r="D92" s="3">
        <v>5</v>
      </c>
      <c r="E92" s="3">
        <v>2</v>
      </c>
      <c r="F92" s="3" t="s">
        <v>38</v>
      </c>
      <c r="G92" s="3" t="s">
        <v>39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>
        <v>1</v>
      </c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>
        <v>8</v>
      </c>
      <c r="D96" s="3">
        <v>7</v>
      </c>
      <c r="E96" s="3">
        <v>1</v>
      </c>
      <c r="F96" s="3" t="s">
        <v>38</v>
      </c>
      <c r="G96" s="3" t="s">
        <v>39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>
        <v>22</v>
      </c>
      <c r="D97" s="3">
        <v>14</v>
      </c>
      <c r="E97" s="3">
        <v>8</v>
      </c>
      <c r="F97" s="3" t="s">
        <v>39</v>
      </c>
      <c r="G97" s="3" t="s">
        <v>39</v>
      </c>
      <c r="H97" s="3">
        <v>4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>
        <v>2</v>
      </c>
      <c r="U97" s="3"/>
      <c r="V97" s="3"/>
      <c r="W97" s="3"/>
      <c r="X97" s="3"/>
      <c r="Y97" s="3">
        <v>1</v>
      </c>
      <c r="Z97" s="3"/>
      <c r="AA97" s="3"/>
      <c r="AB97" s="3"/>
    </row>
    <row r="98" spans="1:28" x14ac:dyDescent="0.3">
      <c r="A98" s="2">
        <v>46137</v>
      </c>
      <c r="B98" s="3" t="str">
        <f t="shared" ref="B98:B111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>
        <v>4</v>
      </c>
      <c r="D103" s="3">
        <v>3</v>
      </c>
      <c r="E103" s="3">
        <v>1</v>
      </c>
      <c r="F103" s="3" t="s">
        <v>38</v>
      </c>
      <c r="G103" s="3" t="s">
        <v>39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>
        <v>1</v>
      </c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>
        <v>12</v>
      </c>
      <c r="D105" s="3">
        <v>9</v>
      </c>
      <c r="E105" s="3">
        <v>3</v>
      </c>
      <c r="F105" s="3" t="s">
        <v>38</v>
      </c>
      <c r="G105" s="3" t="s">
        <v>39</v>
      </c>
      <c r="H105" s="3">
        <v>2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>
        <v>1</v>
      </c>
      <c r="D110" s="3">
        <v>1</v>
      </c>
      <c r="E110" s="3"/>
      <c r="F110" s="3" t="s">
        <v>38</v>
      </c>
      <c r="G110" s="3" t="s">
        <v>38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>
        <v>9</v>
      </c>
      <c r="D111" s="3">
        <v>6</v>
      </c>
      <c r="E111" s="3">
        <v>3</v>
      </c>
      <c r="F111" s="3" t="s">
        <v>38</v>
      </c>
      <c r="G111" s="3" t="s">
        <v>39</v>
      </c>
      <c r="H111" s="3"/>
      <c r="I111" s="3"/>
      <c r="J111" s="3"/>
      <c r="K111" s="3">
        <v>1</v>
      </c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>
        <v>1</v>
      </c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25</v>
      </c>
      <c r="C3" s="5"/>
    </row>
    <row r="4" spans="1:3" x14ac:dyDescent="0.3">
      <c r="A4" s="5" t="s">
        <v>31</v>
      </c>
      <c r="B4" s="5">
        <f>COUNTIF('WhatsApp Data'!F2:F111,"Me")</f>
        <v>20</v>
      </c>
      <c r="C4" s="5"/>
    </row>
    <row r="5" spans="1:3" x14ac:dyDescent="0.3">
      <c r="A5" s="5" t="s">
        <v>32</v>
      </c>
      <c r="B5" s="5">
        <f>COUNTIF('WhatsApp Data'!F2:F111,"You")</f>
        <v>5</v>
      </c>
      <c r="C5" s="5"/>
    </row>
    <row r="6" spans="1:3" x14ac:dyDescent="0.3">
      <c r="A6" s="5" t="s">
        <v>33</v>
      </c>
      <c r="B6" s="5">
        <f>COUNTIF('WhatsApp Data'!G2:G111,"Me")</f>
        <v>16</v>
      </c>
      <c r="C6" s="5"/>
    </row>
    <row r="7" spans="1:3" x14ac:dyDescent="0.3">
      <c r="A7" s="5" t="s">
        <v>34</v>
      </c>
      <c r="B7" s="5">
        <f>COUNTIF('WhatsApp Data'!G2:G111,"You")</f>
        <v>9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288</v>
      </c>
      <c r="C10" s="6">
        <f t="shared" ref="C10:C33" si="0">IFERROR(B10/$B$2,0)</f>
        <v>2.6181818181818182</v>
      </c>
    </row>
    <row r="11" spans="1:3" x14ac:dyDescent="0.3">
      <c r="A11" s="5" t="s">
        <v>3</v>
      </c>
      <c r="B11" s="5">
        <f>SUM('WhatsApp Data'!D2:D111)</f>
        <v>187</v>
      </c>
      <c r="C11" s="6">
        <f t="shared" si="0"/>
        <v>1.7</v>
      </c>
    </row>
    <row r="12" spans="1:3" x14ac:dyDescent="0.3">
      <c r="A12" s="5" t="s">
        <v>4</v>
      </c>
      <c r="B12" s="5">
        <f>SUM('WhatsApp Data'!E2:E111)</f>
        <v>101</v>
      </c>
      <c r="C12" s="6">
        <f t="shared" si="0"/>
        <v>0.91818181818181821</v>
      </c>
    </row>
    <row r="13" spans="1:3" x14ac:dyDescent="0.3">
      <c r="A13" s="5" t="s">
        <v>7</v>
      </c>
      <c r="B13" s="5">
        <f>SUM('WhatsApp Data'!H2:H111)</f>
        <v>13</v>
      </c>
      <c r="C13" s="6">
        <f t="shared" si="0"/>
        <v>0.11818181818181818</v>
      </c>
    </row>
    <row r="14" spans="1:3" x14ac:dyDescent="0.3">
      <c r="A14" s="5" t="s">
        <v>8</v>
      </c>
      <c r="B14" s="5">
        <f>SUM('WhatsApp Data'!I2:I111)</f>
        <v>0</v>
      </c>
      <c r="C14" s="6">
        <f t="shared" si="0"/>
        <v>0</v>
      </c>
    </row>
    <row r="15" spans="1:3" x14ac:dyDescent="0.3">
      <c r="A15" s="5" t="s">
        <v>9</v>
      </c>
      <c r="B15" s="5">
        <f>SUM('WhatsApp Data'!J2:J111)</f>
        <v>10</v>
      </c>
      <c r="C15" s="6">
        <f t="shared" si="0"/>
        <v>9.0909090909090912E-2</v>
      </c>
    </row>
    <row r="16" spans="1:3" x14ac:dyDescent="0.3">
      <c r="A16" s="5" t="s">
        <v>10</v>
      </c>
      <c r="B16" s="5">
        <f>SUM('WhatsApp Data'!K2:K111)</f>
        <v>2</v>
      </c>
      <c r="C16" s="6">
        <f t="shared" si="0"/>
        <v>1.8181818181818181E-2</v>
      </c>
    </row>
    <row r="17" spans="1:3" x14ac:dyDescent="0.3">
      <c r="A17" s="5" t="s">
        <v>11</v>
      </c>
      <c r="B17" s="5">
        <f>SUM('WhatsApp Data'!L2:L111)</f>
        <v>0</v>
      </c>
      <c r="C17" s="6">
        <f t="shared" si="0"/>
        <v>0</v>
      </c>
    </row>
    <row r="18" spans="1:3" x14ac:dyDescent="0.3">
      <c r="A18" s="5" t="s">
        <v>12</v>
      </c>
      <c r="B18" s="5">
        <f>SUM('WhatsApp Data'!M2:M111)</f>
        <v>3</v>
      </c>
      <c r="C18" s="6">
        <f t="shared" si="0"/>
        <v>2.7272727272727271E-2</v>
      </c>
    </row>
    <row r="19" spans="1:3" x14ac:dyDescent="0.3">
      <c r="A19" s="5" t="s">
        <v>13</v>
      </c>
      <c r="B19" s="5">
        <f>SUM('WhatsApp Data'!N2:N111)</f>
        <v>0</v>
      </c>
      <c r="C19" s="6">
        <f t="shared" si="0"/>
        <v>0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0.37</v>
      </c>
      <c r="C21" s="6">
        <f t="shared" si="0"/>
        <v>3.3636363636363638E-3</v>
      </c>
    </row>
    <row r="22" spans="1:3" x14ac:dyDescent="0.3">
      <c r="A22" s="5" t="s">
        <v>16</v>
      </c>
      <c r="B22" s="5">
        <f>SUM('WhatsApp Data'!Q2:Q111)</f>
        <v>5</v>
      </c>
      <c r="C22" s="6">
        <f t="shared" si="0"/>
        <v>4.5454545454545456E-2</v>
      </c>
    </row>
    <row r="23" spans="1:3" x14ac:dyDescent="0.3">
      <c r="A23" s="5" t="s">
        <v>17</v>
      </c>
      <c r="B23" s="5">
        <f>SUM('WhatsApp Data'!R2:R111)</f>
        <v>0</v>
      </c>
      <c r="C23" s="6">
        <f t="shared" si="0"/>
        <v>0</v>
      </c>
    </row>
    <row r="24" spans="1:3" x14ac:dyDescent="0.3">
      <c r="A24" s="5" t="s">
        <v>18</v>
      </c>
      <c r="B24" s="5">
        <f>SUM('WhatsApp Data'!S2:S111)</f>
        <v>11</v>
      </c>
      <c r="C24" s="6">
        <f t="shared" si="0"/>
        <v>0.1</v>
      </c>
    </row>
    <row r="25" spans="1:3" x14ac:dyDescent="0.3">
      <c r="A25" s="5" t="s">
        <v>19</v>
      </c>
      <c r="B25" s="5">
        <f>SUM('WhatsApp Data'!T2:T111)</f>
        <v>11</v>
      </c>
      <c r="C25" s="6">
        <f t="shared" si="0"/>
        <v>0.1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0</v>
      </c>
      <c r="C29" s="6">
        <f t="shared" si="0"/>
        <v>0</v>
      </c>
    </row>
    <row r="30" spans="1:3" x14ac:dyDescent="0.3">
      <c r="A30" s="5" t="s">
        <v>24</v>
      </c>
      <c r="B30" s="5">
        <f>SUM('WhatsApp Data'!Y2:Y111)</f>
        <v>1</v>
      </c>
      <c r="C30" s="6">
        <f t="shared" si="0"/>
        <v>9.0909090909090905E-3</v>
      </c>
    </row>
    <row r="31" spans="1:3" x14ac:dyDescent="0.3">
      <c r="A31" s="5" t="s">
        <v>25</v>
      </c>
      <c r="B31" s="5">
        <f>SUM('WhatsApp Data'!Z2:Z111)</f>
        <v>0</v>
      </c>
      <c r="C31" s="6">
        <f t="shared" si="0"/>
        <v>0</v>
      </c>
    </row>
    <row r="32" spans="1:3" x14ac:dyDescent="0.3">
      <c r="A32" s="5" t="s">
        <v>26</v>
      </c>
      <c r="B32" s="5">
        <f>SUM('WhatsApp Data'!AA2:AA111)</f>
        <v>10</v>
      </c>
      <c r="C32" s="6">
        <f t="shared" si="0"/>
        <v>9.0909090909090912E-2</v>
      </c>
    </row>
    <row r="33" spans="1:3" x14ac:dyDescent="0.3">
      <c r="A33" s="5" t="s">
        <v>27</v>
      </c>
      <c r="B33" s="5">
        <f>SUM('WhatsApp Data'!AB2:AB111)</f>
        <v>1</v>
      </c>
      <c r="C33" s="6">
        <f t="shared" si="0"/>
        <v>9.0909090909090905E-3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2026-10-04T14:07:27Z</dcterms:modified>
  <dc:language>en-US</dc:language>
</cp:coreProperties>
</file>