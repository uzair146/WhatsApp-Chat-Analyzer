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E3ED79D-D54B-439A-A635-CBF23D0D948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<sst xmlns="http://schemas.openxmlformats.org/spreadsheetml/2006/main" count="80" uniqueCount="40">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</sst>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76" activePane="bottomRight" state="frozen"/>
      <selection pane="topRight" activeCell="C1" sqref="C1"/>
      <selection pane="bottomLeft" activeCell="A2" sqref="A2"/>
      <selection pane="bottomRight" activeCell="H96" sqref="H9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2</v>
      </c>
      <c r="D13" s="3">
        <v>1</v>
      </c>
      <c r="E13" s="3">
        <v>1</v>
      </c>
      <c r="F13" s="3" t="s">
        <v>38</v>
      </c>
      <c r="G13" s="3" t="s">
        <v>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4</v>
      </c>
      <c r="D27" s="3">
        <v>3</v>
      </c>
      <c r="E27" s="3">
        <v>1</v>
      </c>
      <c r="F27" s="3" t="s">
        <v>38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8</v>
      </c>
      <c r="D28" s="3">
        <v>3</v>
      </c>
      <c r="E28" s="3">
        <v>5</v>
      </c>
      <c r="F28" s="3" t="s">
        <v>39</v>
      </c>
      <c r="G28" s="3" t="s">
        <v>38</v>
      </c>
      <c r="H28" s="3">
        <v>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3</v>
      </c>
      <c r="D34" s="3">
        <v>2</v>
      </c>
      <c r="E34" s="3">
        <v>1</v>
      </c>
      <c r="F34" s="3" t="s">
        <v>38</v>
      </c>
      <c r="G34" s="3" t="s">
        <v>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1</v>
      </c>
      <c r="D45" s="3">
        <v>1</v>
      </c>
      <c r="E45" s="3"/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7</v>
      </c>
      <c r="D46" s="3">
        <v>4</v>
      </c>
      <c r="E46" s="3">
        <v>3</v>
      </c>
      <c r="F46" s="3" t="s">
        <v>38</v>
      </c>
      <c r="G46" s="3" t="s">
        <v>39</v>
      </c>
      <c r="H46" s="3">
        <v>1</v>
      </c>
      <c r="I46" s="3">
        <v>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12</v>
      </c>
      <c r="D55" s="3">
        <v>8</v>
      </c>
      <c r="E55" s="3">
        <v>4</v>
      </c>
      <c r="F55" s="3" t="s">
        <v>39</v>
      </c>
      <c r="G55" s="3" t="s">
        <v>38</v>
      </c>
      <c r="H55" s="3">
        <v>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11</v>
      </c>
      <c r="D96" s="3">
        <v>7</v>
      </c>
      <c r="E96" s="3">
        <v>4</v>
      </c>
      <c r="F96" s="3" t="s">
        <v>38</v>
      </c>
      <c r="G96" s="3" t="s">
        <v>39</v>
      </c>
      <c r="H96" s="3">
        <v>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6</v>
      </c>
      <c r="D97" s="3">
        <v>3</v>
      </c>
      <c r="E97" s="3">
        <v>3</v>
      </c>
      <c r="F97" s="3" t="s">
        <v>39</v>
      </c>
      <c r="G97" s="3" t="s">
        <v>38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9</v>
      </c>
      <c r="C3" s="5"/>
    </row>
    <row r="4" spans="1:3" x14ac:dyDescent="0.3">
      <c r="A4" s="5" t="s">
        <v>31</v>
      </c>
      <c r="B4" s="5">
        <f>COUNTIF('WhatsApp Data'!F2:F111,"Me")</f>
        <v>6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54</v>
      </c>
      <c r="C10" s="6">
        <f t="shared" ref="C10:C33" si="0">IFERROR(B10/$B$2,0)</f>
        <v>0.49090909090909091</v>
      </c>
    </row>
    <row r="11" spans="1:3" x14ac:dyDescent="0.3">
      <c r="A11" s="5" t="s">
        <v>3</v>
      </c>
      <c r="B11" s="5">
        <f>SUM('WhatsApp Data'!D2:D111)</f>
        <v>32</v>
      </c>
      <c r="C11" s="6">
        <f t="shared" si="0"/>
        <v>0.29090909090909089</v>
      </c>
    </row>
    <row r="12" spans="1:3" x14ac:dyDescent="0.3">
      <c r="A12" s="5" t="s">
        <v>4</v>
      </c>
      <c r="B12" s="5">
        <f>SUM('WhatsApp Data'!E2:E111)</f>
        <v>22</v>
      </c>
      <c r="C12" s="6">
        <f t="shared" si="0"/>
        <v>0.2</v>
      </c>
    </row>
    <row r="13" spans="1:3" x14ac:dyDescent="0.3">
      <c r="A13" s="5" t="s">
        <v>7</v>
      </c>
      <c r="B13" s="5">
        <f>SUM('WhatsApp Data'!H2:H111)</f>
        <v>8</v>
      </c>
      <c r="C13" s="6">
        <f t="shared" si="0"/>
        <v>7.2727272727272724E-2</v>
      </c>
    </row>
    <row r="14" spans="1:3" x14ac:dyDescent="0.3">
      <c r="A14" s="5" t="s">
        <v>8</v>
      </c>
      <c r="B14" s="5">
        <f>SUM('WhatsApp Data'!I2:I111)</f>
        <v>2</v>
      </c>
      <c r="C14" s="6">
        <f t="shared" si="0"/>
        <v>1.8181818181818181E-2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2026-10-18T19:16:07Z</dcterms:modified>
  <dc:language>en-US</dc:language>
</cp:coreProperties>
</file>