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31AE296E-00DA-4A53-B743-358AA8ECF9F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<sst xmlns="http://schemas.openxmlformats.org/spreadsheetml/2006/main" count="90" uniqueCount="40">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</sst>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I82" activePane="bottomRight" state="frozen"/>
      <selection pane="topRight" activeCell="C1" sqref="C1"/>
      <selection pane="bottomLeft" activeCell="A2" sqref="A2"/>
      <selection pane="bottomRight" activeCell="T111" sqref="T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3</v>
      </c>
      <c r="D16" s="3">
        <v>3</v>
      </c>
      <c r="E16" s="3"/>
      <c r="F16" s="3" t="s">
        <v>38</v>
      </c>
      <c r="G16" s="3" t="s">
        <v>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2</v>
      </c>
      <c r="D23" s="3">
        <v>1</v>
      </c>
      <c r="E23" s="3">
        <v>1</v>
      </c>
      <c r="F23" s="3" t="s">
        <v>38</v>
      </c>
      <c r="G23" s="3" t="s">
        <v>39</v>
      </c>
      <c r="H23" s="3"/>
      <c r="I23" s="3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4</v>
      </c>
      <c r="D30" s="3">
        <v>3</v>
      </c>
      <c r="E30" s="3">
        <v>1</v>
      </c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13</v>
      </c>
      <c r="D49" s="3">
        <v>8</v>
      </c>
      <c r="E49" s="3">
        <v>5</v>
      </c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>
        <v>2</v>
      </c>
      <c r="U49" s="3"/>
      <c r="V49" s="3"/>
      <c r="W49" s="3"/>
      <c r="X49" s="3"/>
      <c r="Y49" s="3"/>
      <c r="Z49" s="3"/>
      <c r="AA49" s="3"/>
      <c r="AB49" s="3">
        <v>2</v>
      </c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9</v>
      </c>
      <c r="D56" s="3">
        <v>6</v>
      </c>
      <c r="E56" s="3">
        <v>3</v>
      </c>
      <c r="F56" s="3" t="s">
        <v>38</v>
      </c>
      <c r="G56" s="3" t="s">
        <v>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13</v>
      </c>
      <c r="D60" s="3">
        <v>7</v>
      </c>
      <c r="E60" s="3">
        <v>6</v>
      </c>
      <c r="F60" s="3" t="s">
        <v>38</v>
      </c>
      <c r="G60" s="3" t="s">
        <v>38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1</v>
      </c>
      <c r="U60" s="3"/>
      <c r="V60" s="3"/>
      <c r="W60" s="3"/>
      <c r="X60" s="3"/>
      <c r="Y60" s="3"/>
      <c r="Z60" s="3">
        <v>1</v>
      </c>
      <c r="AA60" s="3">
        <v>1</v>
      </c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3</v>
      </c>
      <c r="D83" s="3">
        <v>1</v>
      </c>
      <c r="E83" s="3">
        <v>2</v>
      </c>
      <c r="F83" s="3" t="s">
        <v>39</v>
      </c>
      <c r="G83" s="3" t="s">
        <v>39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>
        <v>1</v>
      </c>
      <c r="T83" s="3"/>
      <c r="U83" s="3"/>
      <c r="V83" s="3"/>
      <c r="W83" s="3"/>
      <c r="X83" s="3"/>
      <c r="Y83" s="3"/>
      <c r="Z83" s="3"/>
      <c r="AA83" s="3"/>
      <c r="AB83" s="3">
        <v>1</v>
      </c>
    </row>
    <row r="84" spans="1:28" x14ac:dyDescent="0.3">
      <c r="A84" s="2">
        <v>46123</v>
      </c>
      <c r="B84" s="3" t="str">
        <f t="shared" si="2"/>
        <v>Sat</v>
      </c>
      <c r="C84" s="3">
        <v>22</v>
      </c>
      <c r="D84" s="3">
        <v>11</v>
      </c>
      <c r="E84" s="3">
        <v>11</v>
      </c>
      <c r="F84" s="3" t="s">
        <v>38</v>
      </c>
      <c r="G84" s="3" t="s">
        <v>38</v>
      </c>
      <c r="H84" s="3"/>
      <c r="I84" s="3"/>
      <c r="J84" s="3">
        <v>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>
        <v>1</v>
      </c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42</v>
      </c>
      <c r="D90" s="3">
        <v>20</v>
      </c>
      <c r="E90" s="3">
        <v>22</v>
      </c>
      <c r="F90" s="3" t="s">
        <v>38</v>
      </c>
      <c r="G90" s="3" t="s">
        <v>38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>
        <v>2</v>
      </c>
      <c r="T90" s="3"/>
      <c r="U90" s="3"/>
      <c r="V90" s="3"/>
      <c r="W90" s="3">
        <v>1</v>
      </c>
      <c r="X90" s="3"/>
      <c r="Y90" s="3"/>
      <c r="Z90" s="3"/>
      <c r="AA90" s="3"/>
      <c r="AB90" s="3">
        <v>1</v>
      </c>
    </row>
    <row r="91" spans="1:28" x14ac:dyDescent="0.3">
      <c r="A91" s="2">
        <v>46130</v>
      </c>
      <c r="B91" s="3" t="str">
        <f t="shared" si="2"/>
        <v>Sat</v>
      </c>
      <c r="C91" s="3">
        <v>4</v>
      </c>
      <c r="D91" s="3">
        <v>3</v>
      </c>
      <c r="E91" s="3">
        <v>1</v>
      </c>
      <c r="F91" s="3" t="s">
        <v>38</v>
      </c>
      <c r="G91" s="3" t="s">
        <v>39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4</v>
      </c>
      <c r="D93" s="3">
        <v>4</v>
      </c>
      <c r="E93" s="3"/>
      <c r="F93" s="3" t="s">
        <v>38</v>
      </c>
      <c r="G93" s="3" t="s">
        <v>38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13</v>
      </c>
      <c r="D97" s="3">
        <v>4</v>
      </c>
      <c r="E97" s="3">
        <v>9</v>
      </c>
      <c r="F97" s="3" t="s">
        <v>39</v>
      </c>
      <c r="G97" s="3" t="s">
        <v>39</v>
      </c>
      <c r="H97" s="3"/>
      <c r="I97" s="3"/>
      <c r="J97" s="3"/>
      <c r="K97" s="3"/>
      <c r="L97" s="3"/>
      <c r="M97" s="3"/>
      <c r="N97" s="3">
        <v>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>
        <v>8</v>
      </c>
      <c r="D101" s="3">
        <v>4</v>
      </c>
      <c r="E101" s="3">
        <v>4</v>
      </c>
      <c r="F101" s="3" t="s">
        <v>39</v>
      </c>
      <c r="G101" s="3" t="s">
        <v>38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>
        <v>1</v>
      </c>
      <c r="T101" s="3"/>
      <c r="U101" s="3"/>
      <c r="V101" s="3"/>
      <c r="W101" s="3"/>
      <c r="X101" s="3"/>
      <c r="Y101" s="3"/>
      <c r="Z101" s="3"/>
      <c r="AA101" s="3"/>
      <c r="AB101" s="3">
        <v>1</v>
      </c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5</v>
      </c>
      <c r="D111" s="3">
        <v>2</v>
      </c>
      <c r="E111" s="3">
        <v>3</v>
      </c>
      <c r="F111" s="3" t="s">
        <v>38</v>
      </c>
      <c r="G111" s="3" t="s">
        <v>39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>
        <v>1</v>
      </c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14</v>
      </c>
      <c r="C3" s="5"/>
    </row>
    <row r="4" spans="1:3" x14ac:dyDescent="0.3">
      <c r="A4" s="5" t="s">
        <v>31</v>
      </c>
      <c r="B4" s="5">
        <f>COUNTIF('WhatsApp Data'!F2:F111,"Me")</f>
        <v>11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9</v>
      </c>
      <c r="C6" s="5"/>
    </row>
    <row r="7" spans="1:3" x14ac:dyDescent="0.3">
      <c r="A7" s="5" t="s">
        <v>34</v>
      </c>
      <c r="B7" s="5">
        <f>COUNTIF('WhatsApp Data'!G2:G111,"You")</f>
        <v>5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145</v>
      </c>
      <c r="C10" s="6">
        <f t="shared" ref="C10:C33" si="0">IFERROR(B10/$B$2,0)</f>
        <v>1.3181818181818181</v>
      </c>
    </row>
    <row r="11" spans="1:3" x14ac:dyDescent="0.3">
      <c r="A11" s="5" t="s">
        <v>3</v>
      </c>
      <c r="B11" s="5">
        <f>SUM('WhatsApp Data'!D2:D111)</f>
        <v>77</v>
      </c>
      <c r="C11" s="6">
        <f t="shared" si="0"/>
        <v>0.7</v>
      </c>
    </row>
    <row r="12" spans="1:3" x14ac:dyDescent="0.3">
      <c r="A12" s="5" t="s">
        <v>4</v>
      </c>
      <c r="B12" s="5">
        <f>SUM('WhatsApp Data'!E2:E111)</f>
        <v>68</v>
      </c>
      <c r="C12" s="6">
        <f t="shared" si="0"/>
        <v>0.61818181818181817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3</v>
      </c>
      <c r="C19" s="6">
        <f t="shared" si="0"/>
        <v>2.7272727272727271E-2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5</v>
      </c>
      <c r="C24" s="6">
        <f t="shared" si="0"/>
        <v>4.5454545454545456E-2</v>
      </c>
    </row>
    <row r="25" spans="1:3" x14ac:dyDescent="0.3">
      <c r="A25" s="5" t="s">
        <v>19</v>
      </c>
      <c r="B25" s="5">
        <f>SUM('WhatsApp Data'!T2:T111)</f>
        <v>4</v>
      </c>
      <c r="C25" s="6">
        <f t="shared" si="0"/>
        <v>3.6363636363636362E-2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6</v>
      </c>
      <c r="C33" s="6">
        <f t="shared" si="0"/>
        <v>5.4545454545454543E-2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2026-10-04T15:09:33Z</dcterms:modified>
  <dc:language>en-US</dc:language>
</cp:coreProperties>
</file>