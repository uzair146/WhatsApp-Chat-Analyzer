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45E50F33-8E76-41DB-82D7-8650A8883D1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<sst xmlns="http://schemas.openxmlformats.org/spreadsheetml/2006/main" count="78" uniqueCount="40">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</sst>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84" activePane="bottomRight" state="frozen"/>
      <selection pane="topRight" activeCell="C1" sqref="C1"/>
      <selection pane="bottomLeft" activeCell="A2" sqref="A2"/>
      <selection pane="bottomRight" activeCell="I111" sqref="I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>
        <v>21</v>
      </c>
      <c r="D20" s="3">
        <v>10</v>
      </c>
      <c r="E20" s="3">
        <v>11</v>
      </c>
      <c r="F20" s="3" t="s">
        <v>38</v>
      </c>
      <c r="G20" s="3" t="s">
        <v>39</v>
      </c>
      <c r="H20" s="3">
        <v>1</v>
      </c>
      <c r="I20" s="3">
        <v>1</v>
      </c>
      <c r="J20" s="3">
        <v>2</v>
      </c>
      <c r="K20" s="3">
        <v>3</v>
      </c>
      <c r="L20" s="3"/>
      <c r="M20" s="3"/>
      <c r="N20" s="3">
        <v>1</v>
      </c>
      <c r="O20" s="3"/>
      <c r="P20" s="3"/>
      <c r="Q20" s="3"/>
      <c r="R20" s="3"/>
      <c r="S20" s="3"/>
      <c r="T20" s="3">
        <v>1</v>
      </c>
      <c r="U20" s="3"/>
      <c r="V20" s="3"/>
      <c r="W20" s="3"/>
      <c r="X20" s="3">
        <v>1</v>
      </c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8</v>
      </c>
      <c r="D30" s="3">
        <v>2</v>
      </c>
      <c r="E30" s="3">
        <v>6</v>
      </c>
      <c r="F30" s="3" t="s">
        <v>38</v>
      </c>
      <c r="G30" s="3" t="s">
        <v>39</v>
      </c>
      <c r="H30" s="3"/>
      <c r="I30" s="3">
        <v>1</v>
      </c>
      <c r="J30" s="3"/>
      <c r="K30" s="3">
        <v>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>
        <v>1</v>
      </c>
      <c r="D50" s="3"/>
      <c r="E50" s="3">
        <v>1</v>
      </c>
      <c r="F50" s="3" t="s">
        <v>38</v>
      </c>
      <c r="G50" s="3" t="s">
        <v>38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>
        <v>3</v>
      </c>
      <c r="D51" s="3">
        <v>3</v>
      </c>
      <c r="E51" s="3"/>
      <c r="F51" s="3" t="s">
        <v>39</v>
      </c>
      <c r="G51" s="3" t="s">
        <v>39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>
        <v>2</v>
      </c>
      <c r="D62" s="3">
        <v>2</v>
      </c>
      <c r="E62" s="3"/>
      <c r="F62" s="3" t="s">
        <v>39</v>
      </c>
      <c r="G62" s="3" t="s">
        <v>39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1</v>
      </c>
      <c r="U62" s="3"/>
      <c r="V62" s="3"/>
      <c r="W62" s="3"/>
      <c r="X62" s="3"/>
      <c r="Y62" s="3"/>
      <c r="Z62" s="3"/>
      <c r="AA62" s="3">
        <v>1</v>
      </c>
      <c r="AB62" s="3"/>
    </row>
    <row r="63" spans="1:28" x14ac:dyDescent="0.3">
      <c r="A63" s="2">
        <v>46102</v>
      </c>
      <c r="B63" s="3" t="str">
        <f t="shared" si="1"/>
        <v>Sat</v>
      </c>
      <c r="C63" s="3">
        <v>1</v>
      </c>
      <c r="D63" s="3">
        <v>1</v>
      </c>
      <c r="E63" s="3"/>
      <c r="F63" s="3" t="s">
        <v>39</v>
      </c>
      <c r="G63" s="3" t="s">
        <v>39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1</v>
      </c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2</v>
      </c>
      <c r="D94" s="3">
        <v>1</v>
      </c>
      <c r="E94" s="3">
        <v>1</v>
      </c>
      <c r="F94" s="3" t="s">
        <v>38</v>
      </c>
      <c r="G94" s="3" t="s">
        <v>39</v>
      </c>
      <c r="H94" s="3"/>
      <c r="I94" s="3"/>
      <c r="J94" s="3"/>
      <c r="K94" s="3"/>
      <c r="L94" s="3"/>
      <c r="M94" s="3"/>
      <c r="N94" s="3">
        <v>1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</v>
      </c>
      <c r="D110" s="3">
        <v>1</v>
      </c>
      <c r="E110" s="3"/>
      <c r="F110" s="3" t="s">
        <v>39</v>
      </c>
      <c r="G110" s="3" t="s">
        <v>39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8</v>
      </c>
      <c r="C3" s="5"/>
    </row>
    <row r="4" spans="1:3" x14ac:dyDescent="0.3">
      <c r="A4" s="5" t="s">
        <v>31</v>
      </c>
      <c r="B4" s="5">
        <f>COUNTIF('WhatsApp Data'!F2:F111,"Me")</f>
        <v>4</v>
      </c>
      <c r="C4" s="5"/>
    </row>
    <row r="5" spans="1:3" x14ac:dyDescent="0.3">
      <c r="A5" s="5" t="s">
        <v>32</v>
      </c>
      <c r="B5" s="5">
        <f>COUNTIF('WhatsApp Data'!F2:F111,"You")</f>
        <v>4</v>
      </c>
      <c r="C5" s="5"/>
    </row>
    <row r="6" spans="1:3" x14ac:dyDescent="0.3">
      <c r="A6" s="5" t="s">
        <v>33</v>
      </c>
      <c r="B6" s="5">
        <f>COUNTIF('WhatsApp Data'!G2:G111,"Me")</f>
        <v>7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39</v>
      </c>
      <c r="C10" s="6">
        <f t="shared" ref="C10:C33" si="0">IFERROR(B10/$B$2,0)</f>
        <v>0.35454545454545455</v>
      </c>
    </row>
    <row r="11" spans="1:3" x14ac:dyDescent="0.3">
      <c r="A11" s="5" t="s">
        <v>3</v>
      </c>
      <c r="B11" s="5">
        <f>SUM('WhatsApp Data'!D2:D111)</f>
        <v>20</v>
      </c>
      <c r="C11" s="6">
        <f t="shared" si="0"/>
        <v>0.18181818181818182</v>
      </c>
    </row>
    <row r="12" spans="1:3" x14ac:dyDescent="0.3">
      <c r="A12" s="5" t="s">
        <v>4</v>
      </c>
      <c r="B12" s="5">
        <f>SUM('WhatsApp Data'!E2:E111)</f>
        <v>19</v>
      </c>
      <c r="C12" s="6">
        <f t="shared" si="0"/>
        <v>0.17272727272727273</v>
      </c>
    </row>
    <row r="13" spans="1:3" x14ac:dyDescent="0.3">
      <c r="A13" s="5" t="s">
        <v>7</v>
      </c>
      <c r="B13" s="5">
        <f>SUM('WhatsApp Data'!H2:H111)</f>
        <v>1</v>
      </c>
      <c r="C13" s="6">
        <f t="shared" si="0"/>
        <v>9.0909090909090905E-3</v>
      </c>
    </row>
    <row r="14" spans="1:3" x14ac:dyDescent="0.3">
      <c r="A14" s="5" t="s">
        <v>8</v>
      </c>
      <c r="B14" s="5">
        <f>SUM('WhatsApp Data'!I2:I111)</f>
        <v>2</v>
      </c>
      <c r="C14" s="6">
        <f t="shared" si="0"/>
        <v>1.8181818181818181E-2</v>
      </c>
    </row>
    <row r="15" spans="1:3" x14ac:dyDescent="0.3">
      <c r="A15" s="5" t="s">
        <v>9</v>
      </c>
      <c r="B15" s="5">
        <f>SUM('WhatsApp Data'!J2:J111)</f>
        <v>2</v>
      </c>
      <c r="C15" s="6">
        <f t="shared" si="0"/>
        <v>1.8181818181818181E-2</v>
      </c>
    </row>
    <row r="16" spans="1:3" x14ac:dyDescent="0.3">
      <c r="A16" s="5" t="s">
        <v>10</v>
      </c>
      <c r="B16" s="5">
        <f>SUM('WhatsApp Data'!K2:K111)</f>
        <v>4</v>
      </c>
      <c r="C16" s="6">
        <f t="shared" si="0"/>
        <v>3.6363636363636362E-2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2</v>
      </c>
      <c r="C19" s="6">
        <f t="shared" si="0"/>
        <v>1.8181818181818181E-2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3</v>
      </c>
      <c r="C25" s="6">
        <f t="shared" si="0"/>
        <v>2.7272727272727271E-2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1</v>
      </c>
      <c r="C29" s="6">
        <f t="shared" si="0"/>
        <v>9.0909090909090905E-3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1</v>
      </c>
      <c r="C32" s="6">
        <f t="shared" si="0"/>
        <v>9.0909090909090905E-3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2026-10-04T15:18:34Z</dcterms:modified>
  <dc:language>en-US</dc:language>
</cp:coreProperties>
</file>