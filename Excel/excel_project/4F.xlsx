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95B6978C-F143-4819-872F-8D6069B9813E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<sst xmlns="http://schemas.openxmlformats.org/spreadsheetml/2006/main" count="136" uniqueCount="40">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</sst>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G89" activePane="bottomRight" state="frozen"/>
      <selection pane="topRight" activeCell="C1" sqref="C1"/>
      <selection pane="bottomLeft" activeCell="A2" sqref="A2"/>
      <selection pane="bottomRight" activeCell="R110" sqref="R1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18</v>
      </c>
      <c r="D2" s="3">
        <v>11</v>
      </c>
      <c r="E2" s="3">
        <v>7</v>
      </c>
      <c r="F2" s="3" t="s">
        <v>38</v>
      </c>
      <c r="G2" s="3" t="s">
        <v>39</v>
      </c>
      <c r="H2" s="3"/>
      <c r="I2" s="3"/>
      <c r="J2" s="3"/>
      <c r="K2" s="3"/>
      <c r="L2" s="3"/>
      <c r="M2" s="3"/>
      <c r="N2" s="3"/>
      <c r="O2" s="3"/>
      <c r="P2" s="3"/>
      <c r="Q2" s="3">
        <v>1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>
        <v>4</v>
      </c>
      <c r="D9" s="3">
        <v>2</v>
      </c>
      <c r="E9" s="3">
        <v>2</v>
      </c>
      <c r="F9" s="3" t="s">
        <v>38</v>
      </c>
      <c r="G9" s="3" t="s">
        <v>38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>
        <v>7</v>
      </c>
      <c r="D13" s="3">
        <v>5</v>
      </c>
      <c r="E13" s="3">
        <v>2</v>
      </c>
      <c r="F13" s="3" t="s">
        <v>39</v>
      </c>
      <c r="G13" s="3" t="s">
        <v>38</v>
      </c>
      <c r="H13" s="3"/>
      <c r="I13" s="3"/>
      <c r="J13" s="3"/>
      <c r="K13" s="3"/>
      <c r="L13" s="3"/>
      <c r="M13" s="3"/>
      <c r="N13" s="3"/>
      <c r="O13" s="3"/>
      <c r="P13" s="3"/>
      <c r="Q13" s="3">
        <v>1</v>
      </c>
      <c r="R13" s="3"/>
      <c r="S13" s="3"/>
      <c r="T13" s="3">
        <v>1</v>
      </c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20</v>
      </c>
      <c r="D17" s="3">
        <v>11</v>
      </c>
      <c r="E17" s="3">
        <v>9</v>
      </c>
      <c r="F17" s="3" t="s">
        <v>38</v>
      </c>
      <c r="G17" s="3" t="s">
        <v>38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>
        <v>1</v>
      </c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>
        <v>10</v>
      </c>
      <c r="D18" s="3">
        <v>5</v>
      </c>
      <c r="E18" s="3">
        <v>5</v>
      </c>
      <c r="F18" s="3" t="s">
        <v>39</v>
      </c>
      <c r="G18" s="3" t="s">
        <v>38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57</v>
      </c>
      <c r="D23" s="3">
        <v>32</v>
      </c>
      <c r="E23" s="3">
        <v>25</v>
      </c>
      <c r="F23" s="3" t="s">
        <v>38</v>
      </c>
      <c r="G23" s="3" t="s">
        <v>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  <c r="T23" s="3"/>
      <c r="U23" s="3"/>
      <c r="V23" s="3"/>
      <c r="W23" s="3"/>
      <c r="X23" s="3"/>
      <c r="Y23" s="3"/>
      <c r="Z23" s="3">
        <v>2</v>
      </c>
      <c r="AA23" s="3"/>
      <c r="AB23" s="3">
        <v>1</v>
      </c>
    </row>
    <row r="24" spans="1:28" x14ac:dyDescent="0.3">
      <c r="A24" s="2">
        <v>46063</v>
      </c>
      <c r="B24" s="3" t="str">
        <f t="shared" si="0"/>
        <v>Tue</v>
      </c>
      <c r="C24" s="3">
        <v>10</v>
      </c>
      <c r="D24" s="3">
        <v>6</v>
      </c>
      <c r="E24" s="3">
        <v>4</v>
      </c>
      <c r="F24" s="3" t="s">
        <v>38</v>
      </c>
      <c r="G24" s="3" t="s">
        <v>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1</v>
      </c>
      <c r="S24" s="3">
        <v>1</v>
      </c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15</v>
      </c>
      <c r="D25" s="3">
        <v>8</v>
      </c>
      <c r="E25" s="3">
        <v>7</v>
      </c>
      <c r="F25" s="3" t="s">
        <v>39</v>
      </c>
      <c r="G25" s="3" t="s">
        <v>38</v>
      </c>
      <c r="H25" s="3"/>
      <c r="I25" s="3"/>
      <c r="J25" s="3"/>
      <c r="K25" s="3"/>
      <c r="L25" s="3"/>
      <c r="M25" s="3"/>
      <c r="N25" s="3"/>
      <c r="O25" s="3"/>
      <c r="P25" s="3"/>
      <c r="Q25" s="3">
        <v>1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13</v>
      </c>
      <c r="D26" s="3">
        <v>7</v>
      </c>
      <c r="E26" s="3">
        <v>6</v>
      </c>
      <c r="F26" s="3" t="s">
        <v>39</v>
      </c>
      <c r="G26" s="3" t="s">
        <v>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16</v>
      </c>
      <c r="D28" s="3">
        <v>9</v>
      </c>
      <c r="E28" s="3">
        <v>7</v>
      </c>
      <c r="F28" s="3" t="s">
        <v>38</v>
      </c>
      <c r="G28" s="3" t="s">
        <v>38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12</v>
      </c>
      <c r="D30" s="3">
        <v>7</v>
      </c>
      <c r="E30" s="3">
        <v>5</v>
      </c>
      <c r="F30" s="3" t="s">
        <v>38</v>
      </c>
      <c r="G30" s="3" t="s">
        <v>38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>
        <v>1</v>
      </c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>
        <v>3</v>
      </c>
      <c r="D35" s="3">
        <v>2</v>
      </c>
      <c r="E35" s="3">
        <v>1</v>
      </c>
      <c r="F35" s="3" t="s">
        <v>38</v>
      </c>
      <c r="G35" s="3" t="s">
        <v>38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3</v>
      </c>
      <c r="D42" s="3">
        <v>1</v>
      </c>
      <c r="E42" s="3">
        <v>2</v>
      </c>
      <c r="F42" s="3" t="s">
        <v>38</v>
      </c>
      <c r="G42" s="3" t="s">
        <v>39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>
        <v>1</v>
      </c>
      <c r="S42" s="3">
        <v>1</v>
      </c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>
        <v>10</v>
      </c>
      <c r="D52" s="3">
        <v>6</v>
      </c>
      <c r="E52" s="3">
        <v>4</v>
      </c>
      <c r="F52" s="3" t="s">
        <v>38</v>
      </c>
      <c r="G52" s="3" t="s">
        <v>38</v>
      </c>
      <c r="H52" s="3"/>
      <c r="I52" s="3"/>
      <c r="J52" s="3"/>
      <c r="K52" s="3"/>
      <c r="L52" s="3"/>
      <c r="M52" s="3"/>
      <c r="N52" s="3"/>
      <c r="O52" s="3"/>
      <c r="P52" s="3"/>
      <c r="Q52" s="3">
        <v>1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21</v>
      </c>
      <c r="D55" s="3">
        <v>10</v>
      </c>
      <c r="E55" s="3">
        <v>11</v>
      </c>
      <c r="F55" s="3" t="s">
        <v>38</v>
      </c>
      <c r="G55" s="3" t="s">
        <v>39</v>
      </c>
      <c r="H55" s="3"/>
      <c r="I55" s="3">
        <v>1</v>
      </c>
      <c r="J55" s="3"/>
      <c r="K55" s="3"/>
      <c r="L55" s="3"/>
      <c r="M55" s="3"/>
      <c r="N55" s="3"/>
      <c r="O55" s="3"/>
      <c r="P55" s="3"/>
      <c r="Q55" s="3"/>
      <c r="R55" s="3"/>
      <c r="S55" s="3">
        <v>1</v>
      </c>
      <c r="T55" s="3">
        <v>1</v>
      </c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>
        <v>5</v>
      </c>
      <c r="D56" s="3">
        <v>2</v>
      </c>
      <c r="E56" s="3">
        <v>3</v>
      </c>
      <c r="F56" s="3" t="s">
        <v>39</v>
      </c>
      <c r="G56" s="3" t="s">
        <v>38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11</v>
      </c>
      <c r="D58" s="3">
        <v>6</v>
      </c>
      <c r="E58" s="3">
        <v>5</v>
      </c>
      <c r="F58" s="3" t="s">
        <v>38</v>
      </c>
      <c r="G58" s="3" t="s">
        <v>39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3</v>
      </c>
      <c r="D69" s="3">
        <v>1</v>
      </c>
      <c r="E69" s="3">
        <v>2</v>
      </c>
      <c r="F69" s="3" t="s">
        <v>39</v>
      </c>
      <c r="G69" s="3" t="s">
        <v>39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7</v>
      </c>
      <c r="D70" s="3">
        <v>4</v>
      </c>
      <c r="E70" s="3">
        <v>3</v>
      </c>
      <c r="F70" s="3" t="s">
        <v>38</v>
      </c>
      <c r="G70" s="3" t="s">
        <v>38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>
        <v>7</v>
      </c>
      <c r="D71" s="3">
        <v>4</v>
      </c>
      <c r="E71" s="3">
        <v>3</v>
      </c>
      <c r="F71" s="3" t="s">
        <v>38</v>
      </c>
      <c r="G71" s="3" t="s">
        <v>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1</v>
      </c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>
        <v>6</v>
      </c>
      <c r="D72" s="3">
        <v>3</v>
      </c>
      <c r="E72" s="3">
        <v>3</v>
      </c>
      <c r="F72" s="3" t="s">
        <v>38</v>
      </c>
      <c r="G72" s="3" t="s">
        <v>38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3</v>
      </c>
      <c r="D73" s="3">
        <v>2</v>
      </c>
      <c r="E73" s="3">
        <v>1</v>
      </c>
      <c r="F73" s="3" t="s">
        <v>38</v>
      </c>
      <c r="G73" s="3" t="s">
        <v>39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1</v>
      </c>
      <c r="U73" s="3"/>
      <c r="V73" s="3"/>
      <c r="W73" s="3"/>
      <c r="X73" s="3"/>
      <c r="Y73" s="3"/>
      <c r="Z73" s="3"/>
      <c r="AA73" s="3">
        <v>1</v>
      </c>
      <c r="AB73" s="3"/>
    </row>
    <row r="74" spans="1:28" x14ac:dyDescent="0.3">
      <c r="A74" s="2">
        <v>46113</v>
      </c>
      <c r="B74" s="3" t="str">
        <f t="shared" si="2"/>
        <v>Wed</v>
      </c>
      <c r="C74" s="3">
        <v>21</v>
      </c>
      <c r="D74" s="3">
        <v>14</v>
      </c>
      <c r="E74" s="3">
        <v>7</v>
      </c>
      <c r="F74" s="3" t="s">
        <v>38</v>
      </c>
      <c r="G74" s="3" t="s">
        <v>38</v>
      </c>
      <c r="H74" s="3">
        <v>1</v>
      </c>
      <c r="I74" s="3"/>
      <c r="J74" s="3"/>
      <c r="K74" s="3"/>
      <c r="L74" s="3"/>
      <c r="M74" s="3"/>
      <c r="N74" s="3"/>
      <c r="O74" s="3"/>
      <c r="P74" s="3"/>
      <c r="Q74" s="3">
        <v>4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>
        <v>4</v>
      </c>
      <c r="D75" s="3">
        <v>2</v>
      </c>
      <c r="E75" s="3">
        <v>2</v>
      </c>
      <c r="F75" s="3" t="s">
        <v>39</v>
      </c>
      <c r="G75" s="3" t="s">
        <v>38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>
        <v>1</v>
      </c>
      <c r="D76" s="3">
        <v>1</v>
      </c>
      <c r="E76" s="3"/>
      <c r="F76" s="3" t="s">
        <v>38</v>
      </c>
      <c r="G76" s="3" t="s">
        <v>38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5</v>
      </c>
      <c r="D77" s="3">
        <v>3</v>
      </c>
      <c r="E77" s="3">
        <v>2</v>
      </c>
      <c r="F77" s="3" t="s">
        <v>39</v>
      </c>
      <c r="G77" s="3" t="s">
        <v>38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>
        <v>6</v>
      </c>
      <c r="D78" s="3">
        <v>3</v>
      </c>
      <c r="E78" s="3">
        <v>3</v>
      </c>
      <c r="F78" s="3" t="s">
        <v>38</v>
      </c>
      <c r="G78" s="3" t="s">
        <v>39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>
        <v>22</v>
      </c>
      <c r="D84" s="3">
        <v>11</v>
      </c>
      <c r="E84" s="3">
        <v>11</v>
      </c>
      <c r="F84" s="3" t="s">
        <v>39</v>
      </c>
      <c r="G84" s="3" t="s">
        <v>38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5</v>
      </c>
      <c r="D90" s="3">
        <v>3</v>
      </c>
      <c r="E90" s="3">
        <v>2</v>
      </c>
      <c r="F90" s="3" t="s">
        <v>38</v>
      </c>
      <c r="G90" s="3" t="s">
        <v>38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>
        <v>1</v>
      </c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>
        <v>18</v>
      </c>
      <c r="D91" s="3">
        <v>9</v>
      </c>
      <c r="E91" s="3">
        <v>9</v>
      </c>
      <c r="F91" s="3" t="s">
        <v>38</v>
      </c>
      <c r="G91" s="3" t="s">
        <v>38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5</v>
      </c>
      <c r="D92" s="3">
        <v>3</v>
      </c>
      <c r="E92" s="3">
        <v>2</v>
      </c>
      <c r="F92" s="3" t="s">
        <v>38</v>
      </c>
      <c r="G92" s="3" t="s">
        <v>38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>
        <v>2</v>
      </c>
      <c r="U92" s="3"/>
      <c r="V92" s="3"/>
      <c r="W92" s="3"/>
      <c r="X92" s="3"/>
      <c r="Y92" s="3"/>
      <c r="Z92" s="3"/>
      <c r="AA92" s="3">
        <v>1</v>
      </c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4</v>
      </c>
      <c r="D94" s="3">
        <v>3</v>
      </c>
      <c r="E94" s="3">
        <v>1</v>
      </c>
      <c r="F94" s="3" t="s">
        <v>38</v>
      </c>
      <c r="G94" s="3" t="s">
        <v>38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>
        <v>3</v>
      </c>
      <c r="D95" s="3">
        <v>2</v>
      </c>
      <c r="E95" s="3">
        <v>1</v>
      </c>
      <c r="F95" s="3" t="s">
        <v>38</v>
      </c>
      <c r="G95" s="3" t="s">
        <v>38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>
        <v>5</v>
      </c>
      <c r="D100" s="3">
        <v>3</v>
      </c>
      <c r="E100" s="3">
        <v>2</v>
      </c>
      <c r="F100" s="3" t="s">
        <v>38</v>
      </c>
      <c r="G100" s="3" t="s">
        <v>38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2</v>
      </c>
      <c r="D107" s="3">
        <v>2</v>
      </c>
      <c r="E107" s="3"/>
      <c r="F107" s="3" t="s">
        <v>38</v>
      </c>
      <c r="G107" s="3" t="s">
        <v>38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2</v>
      </c>
      <c r="D108" s="3">
        <v>1</v>
      </c>
      <c r="E108" s="3">
        <v>1</v>
      </c>
      <c r="F108" s="3" t="s">
        <v>39</v>
      </c>
      <c r="G108" s="3" t="s">
        <v>38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6</v>
      </c>
      <c r="D110" s="3">
        <v>4</v>
      </c>
      <c r="E110" s="3">
        <v>2</v>
      </c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>
        <v>1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>
      <selection activeCell="C29" sqref="C29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37</v>
      </c>
      <c r="C3" s="5"/>
    </row>
    <row r="4" spans="1:3" x14ac:dyDescent="0.3">
      <c r="A4" s="5" t="s">
        <v>31</v>
      </c>
      <c r="B4" s="5">
        <f>COUNTIF('WhatsApp Data'!F2:F111,"Me")</f>
        <v>27</v>
      </c>
      <c r="C4" s="5"/>
    </row>
    <row r="5" spans="1:3" x14ac:dyDescent="0.3">
      <c r="A5" s="5" t="s">
        <v>32</v>
      </c>
      <c r="B5" s="5">
        <f>COUNTIF('WhatsApp Data'!F2:F111,"You")</f>
        <v>10</v>
      </c>
      <c r="C5" s="5"/>
    </row>
    <row r="6" spans="1:3" x14ac:dyDescent="0.3">
      <c r="A6" s="5" t="s">
        <v>33</v>
      </c>
      <c r="B6" s="5">
        <f>COUNTIF('WhatsApp Data'!G2:G111,"Me")</f>
        <v>30</v>
      </c>
      <c r="C6" s="5"/>
    </row>
    <row r="7" spans="1:3" x14ac:dyDescent="0.3">
      <c r="A7" s="5" t="s">
        <v>34</v>
      </c>
      <c r="B7" s="5">
        <f>COUNTIF('WhatsApp Data'!G2:G111,"You")</f>
        <v>7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370</v>
      </c>
      <c r="C10" s="6">
        <f t="shared" ref="C10:C33" si="0">IFERROR(B10/$B$2,0)</f>
        <v>3.3636363636363638</v>
      </c>
    </row>
    <row r="11" spans="1:3" x14ac:dyDescent="0.3">
      <c r="A11" s="5" t="s">
        <v>3</v>
      </c>
      <c r="B11" s="5">
        <f>SUM('WhatsApp Data'!D2:D111)</f>
        <v>208</v>
      </c>
      <c r="C11" s="6">
        <f t="shared" si="0"/>
        <v>1.8909090909090909</v>
      </c>
    </row>
    <row r="12" spans="1:3" x14ac:dyDescent="0.3">
      <c r="A12" s="5" t="s">
        <v>4</v>
      </c>
      <c r="B12" s="5">
        <f>SUM('WhatsApp Data'!E2:E111)</f>
        <v>162</v>
      </c>
      <c r="C12" s="6">
        <f t="shared" si="0"/>
        <v>1.4727272727272727</v>
      </c>
    </row>
    <row r="13" spans="1:3" x14ac:dyDescent="0.3">
      <c r="A13" s="5" t="s">
        <v>7</v>
      </c>
      <c r="B13" s="5">
        <f>SUM('WhatsApp Data'!H2:H111)</f>
        <v>1</v>
      </c>
      <c r="C13" s="6">
        <f t="shared" si="0"/>
        <v>9.0909090909090905E-3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9</v>
      </c>
      <c r="C22" s="6">
        <f t="shared" si="0"/>
        <v>8.1818181818181818E-2</v>
      </c>
    </row>
    <row r="23" spans="1:3" x14ac:dyDescent="0.3">
      <c r="A23" s="5" t="s">
        <v>17</v>
      </c>
      <c r="B23" s="5">
        <f>SUM('WhatsApp Data'!R2:R111)</f>
        <v>2</v>
      </c>
      <c r="C23" s="6">
        <f t="shared" si="0"/>
        <v>1.8181818181818181E-2</v>
      </c>
    </row>
    <row r="24" spans="1:3" x14ac:dyDescent="0.3">
      <c r="A24" s="5" t="s">
        <v>18</v>
      </c>
      <c r="B24" s="5">
        <f>SUM('WhatsApp Data'!S2:S111)</f>
        <v>4</v>
      </c>
      <c r="C24" s="6">
        <f t="shared" si="0"/>
        <v>3.6363636363636362E-2</v>
      </c>
    </row>
    <row r="25" spans="1:3" x14ac:dyDescent="0.3">
      <c r="A25" s="5" t="s">
        <v>19</v>
      </c>
      <c r="B25" s="5">
        <f>SUM('WhatsApp Data'!T2:T111)</f>
        <v>9</v>
      </c>
      <c r="C25" s="6">
        <f t="shared" si="0"/>
        <v>8.1818181818181818E-2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2</v>
      </c>
      <c r="C31" s="6">
        <f t="shared" si="0"/>
        <v>1.8181818181818181E-2</v>
      </c>
    </row>
    <row r="32" spans="1:3" x14ac:dyDescent="0.3">
      <c r="A32" s="5" t="s">
        <v>26</v>
      </c>
      <c r="B32" s="5">
        <f>SUM('WhatsApp Data'!AA2:AA111)</f>
        <v>4</v>
      </c>
      <c r="C32" s="6">
        <f t="shared" si="0"/>
        <v>3.6363636363636362E-2</v>
      </c>
    </row>
    <row r="33" spans="1:3" x14ac:dyDescent="0.3">
      <c r="A33" s="5" t="s">
        <v>27</v>
      </c>
      <c r="B33" s="5">
        <f>SUM('WhatsApp Data'!AB2:AB111)</f>
        <v>1</v>
      </c>
      <c r="C33" s="6">
        <f t="shared" si="0"/>
        <v>9.0909090909090905E-3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2026-10-11T18:33:06Z</dcterms:modified>
  <dc:language>en-US</dc:language>
</cp:coreProperties>
</file>