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62ED0BCE-AD0A-4B34-926F-B918BCAB99B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<sst xmlns="http://schemas.openxmlformats.org/spreadsheetml/2006/main" count="100" uniqueCount="40">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</sst>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H93" activePane="bottomRight" state="frozen"/>
      <selection pane="topRight" activeCell="C1" sqref="C1"/>
      <selection pane="bottomLeft" activeCell="A2" sqref="A2"/>
      <selection pane="bottomRight" activeCell="S111" sqref="S11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>
        <v>8</v>
      </c>
      <c r="D24" s="3">
        <v>4</v>
      </c>
      <c r="E24" s="3">
        <v>4</v>
      </c>
      <c r="F24" s="3" t="s">
        <v>38</v>
      </c>
      <c r="G24" s="3" t="s">
        <v>39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>
        <v>6</v>
      </c>
      <c r="D25" s="3">
        <v>4</v>
      </c>
      <c r="E25" s="3">
        <v>2</v>
      </c>
      <c r="F25" s="3" t="s">
        <v>39</v>
      </c>
      <c r="G25" s="3" t="s">
        <v>39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>
        <v>15</v>
      </c>
      <c r="D26" s="3">
        <v>8</v>
      </c>
      <c r="E26" s="3">
        <v>7</v>
      </c>
      <c r="F26" s="3" t="s">
        <v>39</v>
      </c>
      <c r="G26" s="3" t="s">
        <v>38</v>
      </c>
      <c r="H26" s="3">
        <v>2</v>
      </c>
      <c r="I26" s="3"/>
      <c r="J26" s="3"/>
      <c r="K26" s="3">
        <v>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>
        <v>3</v>
      </c>
      <c r="D27" s="3">
        <v>1</v>
      </c>
      <c r="E27" s="3">
        <v>2</v>
      </c>
      <c r="F27" s="3" t="s">
        <v>39</v>
      </c>
      <c r="G27" s="3" t="s">
        <v>38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>
        <v>1</v>
      </c>
      <c r="D66" s="3">
        <v>1</v>
      </c>
      <c r="E66" s="3"/>
      <c r="F66" s="3" t="s">
        <v>39</v>
      </c>
      <c r="G66" s="3" t="s">
        <v>39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>
        <v>102</v>
      </c>
      <c r="D67" s="3">
        <v>52</v>
      </c>
      <c r="E67" s="3">
        <v>50</v>
      </c>
      <c r="F67" s="3" t="s">
        <v>38</v>
      </c>
      <c r="G67" s="3" t="s">
        <v>39</v>
      </c>
      <c r="H67" s="3">
        <v>6</v>
      </c>
      <c r="I67" s="3">
        <v>3</v>
      </c>
      <c r="J67" s="3">
        <v>3</v>
      </c>
      <c r="K67" s="3">
        <v>5</v>
      </c>
      <c r="L67" s="3"/>
      <c r="M67" s="3"/>
      <c r="N67" s="3"/>
      <c r="O67" s="3"/>
      <c r="P67" s="3"/>
      <c r="Q67" s="3">
        <v>2</v>
      </c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>
        <v>107</v>
      </c>
      <c r="D68" s="3">
        <v>40</v>
      </c>
      <c r="E68" s="3">
        <v>67</v>
      </c>
      <c r="F68" s="3" t="s">
        <v>39</v>
      </c>
      <c r="G68" s="3" t="s">
        <v>39</v>
      </c>
      <c r="H68" s="3">
        <v>4</v>
      </c>
      <c r="I68" s="3">
        <v>2</v>
      </c>
      <c r="J68" s="3">
        <v>5</v>
      </c>
      <c r="K68" s="3">
        <v>2</v>
      </c>
      <c r="L68" s="3"/>
      <c r="M68" s="3"/>
      <c r="N68" s="3"/>
      <c r="O68" s="3"/>
      <c r="P68" s="3"/>
      <c r="Q68" s="3">
        <v>1</v>
      </c>
      <c r="R68" s="3">
        <v>3</v>
      </c>
      <c r="S68" s="3">
        <v>1</v>
      </c>
      <c r="T68" s="3"/>
      <c r="U68" s="3"/>
      <c r="V68" s="3"/>
      <c r="W68" s="3"/>
      <c r="X68" s="3"/>
      <c r="Y68" s="3">
        <v>1</v>
      </c>
      <c r="Z68" s="3"/>
      <c r="AA68" s="3"/>
      <c r="AB68" s="3">
        <v>5</v>
      </c>
    </row>
    <row r="69" spans="1:28" x14ac:dyDescent="0.3">
      <c r="A69" s="2">
        <v>46108</v>
      </c>
      <c r="B69" s="3" t="str">
        <f t="shared" si="2"/>
        <v>Fri</v>
      </c>
      <c r="C69" s="3">
        <v>47</v>
      </c>
      <c r="D69" s="3">
        <v>25</v>
      </c>
      <c r="E69" s="3">
        <v>22</v>
      </c>
      <c r="F69" s="3" t="s">
        <v>38</v>
      </c>
      <c r="G69" s="3" t="s">
        <v>38</v>
      </c>
      <c r="H69" s="3">
        <v>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>
        <v>53</v>
      </c>
      <c r="D70" s="3">
        <v>37</v>
      </c>
      <c r="E70" s="3">
        <v>16</v>
      </c>
      <c r="F70" s="3" t="s">
        <v>39</v>
      </c>
      <c r="G70" s="3" t="s">
        <v>39</v>
      </c>
      <c r="H70" s="3">
        <v>1</v>
      </c>
      <c r="I70" s="3"/>
      <c r="J70" s="3">
        <v>4</v>
      </c>
      <c r="K70" s="3"/>
      <c r="L70" s="3"/>
      <c r="M70" s="3"/>
      <c r="N70" s="3"/>
      <c r="O70" s="3"/>
      <c r="P70" s="3"/>
      <c r="Q70" s="3"/>
      <c r="R70" s="3"/>
      <c r="S70" s="3"/>
      <c r="T70" s="3">
        <v>4</v>
      </c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>
        <v>176</v>
      </c>
      <c r="D71" s="3">
        <v>100</v>
      </c>
      <c r="E71" s="3">
        <v>76</v>
      </c>
      <c r="F71" s="3" t="s">
        <v>39</v>
      </c>
      <c r="G71" s="3" t="s">
        <v>38</v>
      </c>
      <c r="H71" s="3">
        <v>3</v>
      </c>
      <c r="I71" s="3">
        <v>7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>
        <v>78</v>
      </c>
      <c r="D72" s="3">
        <v>33</v>
      </c>
      <c r="E72" s="3">
        <v>45</v>
      </c>
      <c r="F72" s="3" t="s">
        <v>39</v>
      </c>
      <c r="G72" s="3" t="s">
        <v>38</v>
      </c>
      <c r="H72" s="3">
        <v>2</v>
      </c>
      <c r="I72" s="3">
        <v>4</v>
      </c>
      <c r="J72" s="3"/>
      <c r="K72" s="3"/>
      <c r="L72" s="3"/>
      <c r="M72" s="3"/>
      <c r="N72" s="3"/>
      <c r="O72" s="3"/>
      <c r="P72" s="3"/>
      <c r="Q72" s="3"/>
      <c r="R72" s="3"/>
      <c r="S72" s="3">
        <v>2</v>
      </c>
      <c r="T72" s="3"/>
      <c r="U72" s="3"/>
      <c r="V72" s="3"/>
      <c r="W72" s="3"/>
      <c r="X72" s="3"/>
      <c r="Y72" s="3">
        <v>1</v>
      </c>
      <c r="Z72" s="3">
        <v>3</v>
      </c>
      <c r="AA72" s="3">
        <v>2</v>
      </c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>
        <v>121</v>
      </c>
      <c r="D91" s="3">
        <v>64</v>
      </c>
      <c r="E91" s="3">
        <v>57</v>
      </c>
      <c r="F91" s="3" t="s">
        <v>38</v>
      </c>
      <c r="G91" s="3" t="s">
        <v>39</v>
      </c>
      <c r="H91" s="3">
        <v>3</v>
      </c>
      <c r="I91" s="3">
        <v>4</v>
      </c>
      <c r="J91" s="3">
        <v>2</v>
      </c>
      <c r="K91" s="3">
        <v>1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>
        <v>6</v>
      </c>
      <c r="D93" s="3">
        <v>2</v>
      </c>
      <c r="E93" s="3">
        <v>4</v>
      </c>
      <c r="F93" s="3" t="s">
        <v>39</v>
      </c>
      <c r="G93" s="3" t="s">
        <v>39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>
        <v>30</v>
      </c>
      <c r="D94" s="3">
        <v>18</v>
      </c>
      <c r="E94" s="3">
        <v>12</v>
      </c>
      <c r="F94" s="3" t="s">
        <v>39</v>
      </c>
      <c r="G94" s="3" t="s">
        <v>38</v>
      </c>
      <c r="H94" s="3"/>
      <c r="I94" s="3"/>
      <c r="J94" s="3">
        <v>3</v>
      </c>
      <c r="K94" s="3">
        <v>2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>
        <v>89</v>
      </c>
      <c r="D95" s="3">
        <v>43</v>
      </c>
      <c r="E95" s="3">
        <v>46</v>
      </c>
      <c r="F95" s="3" t="s">
        <v>39</v>
      </c>
      <c r="G95" s="3" t="s">
        <v>38</v>
      </c>
      <c r="H95" s="3"/>
      <c r="I95" s="3">
        <v>3</v>
      </c>
      <c r="J95" s="3">
        <v>7</v>
      </c>
      <c r="K95" s="3">
        <v>2</v>
      </c>
      <c r="L95" s="3"/>
      <c r="M95" s="3"/>
      <c r="N95" s="3"/>
      <c r="O95" s="3"/>
      <c r="P95" s="3"/>
      <c r="Q95" s="3"/>
      <c r="R95" s="3"/>
      <c r="S95" s="3">
        <v>3</v>
      </c>
      <c r="T95" s="3"/>
      <c r="U95" s="3"/>
      <c r="V95" s="3"/>
      <c r="W95" s="3"/>
      <c r="X95" s="3"/>
      <c r="Y95" s="3"/>
      <c r="Z95" s="3"/>
      <c r="AA95" s="3">
        <v>1</v>
      </c>
      <c r="AB95" s="3"/>
    </row>
    <row r="96" spans="1:28" x14ac:dyDescent="0.3">
      <c r="A96" s="2">
        <v>46135</v>
      </c>
      <c r="B96" s="3" t="str">
        <f t="shared" si="2"/>
        <v>Thu</v>
      </c>
      <c r="C96" s="3">
        <v>143</v>
      </c>
      <c r="D96" s="3">
        <v>74</v>
      </c>
      <c r="E96" s="3">
        <v>69</v>
      </c>
      <c r="F96" s="3" t="s">
        <v>38</v>
      </c>
      <c r="G96" s="3" t="s">
        <v>39</v>
      </c>
      <c r="H96" s="3">
        <v>8</v>
      </c>
      <c r="I96" s="3">
        <v>5</v>
      </c>
      <c r="J96" s="3">
        <v>3</v>
      </c>
      <c r="K96" s="3">
        <v>2</v>
      </c>
      <c r="L96" s="3"/>
      <c r="M96" s="3"/>
      <c r="N96" s="3"/>
      <c r="O96" s="3"/>
      <c r="P96" s="3"/>
      <c r="Q96" s="3">
        <v>1</v>
      </c>
      <c r="R96" s="3"/>
      <c r="S96" s="3">
        <v>2</v>
      </c>
      <c r="T96" s="3">
        <v>1</v>
      </c>
      <c r="U96" s="3"/>
      <c r="V96" s="3"/>
      <c r="W96" s="3"/>
      <c r="X96" s="3"/>
      <c r="Y96" s="3"/>
      <c r="Z96" s="3">
        <v>3</v>
      </c>
      <c r="AA96" s="3"/>
      <c r="AB96" s="3">
        <v>4</v>
      </c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>
        <v>31</v>
      </c>
      <c r="D100" s="3">
        <v>15</v>
      </c>
      <c r="E100" s="3">
        <v>16</v>
      </c>
      <c r="F100" s="3" t="s">
        <v>38</v>
      </c>
      <c r="G100" s="3" t="s">
        <v>39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>
        <v>17</v>
      </c>
      <c r="D108" s="3">
        <v>10</v>
      </c>
      <c r="E108" s="3">
        <v>7</v>
      </c>
      <c r="F108" s="3" t="s">
        <v>39</v>
      </c>
      <c r="G108" s="3" t="s">
        <v>39</v>
      </c>
      <c r="H108" s="3">
        <v>3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>
        <v>3</v>
      </c>
      <c r="D111" s="3">
        <v>1</v>
      </c>
      <c r="E111" s="3">
        <v>2</v>
      </c>
      <c r="F111" s="3" t="s">
        <v>38</v>
      </c>
      <c r="G111" s="3" t="s">
        <v>39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>
        <v>1</v>
      </c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19</v>
      </c>
      <c r="C3" s="5"/>
    </row>
    <row r="4" spans="1:3" x14ac:dyDescent="0.3">
      <c r="A4" s="5" t="s">
        <v>31</v>
      </c>
      <c r="B4" s="5">
        <f>COUNTIF('WhatsApp Data'!F2:F111,"Me")</f>
        <v>12</v>
      </c>
      <c r="C4" s="5"/>
    </row>
    <row r="5" spans="1:3" x14ac:dyDescent="0.3">
      <c r="A5" s="5" t="s">
        <v>32</v>
      </c>
      <c r="B5" s="5">
        <f>COUNTIF('WhatsApp Data'!F2:F111,"You")</f>
        <v>7</v>
      </c>
      <c r="C5" s="5"/>
    </row>
    <row r="6" spans="1:3" x14ac:dyDescent="0.3">
      <c r="A6" s="5" t="s">
        <v>33</v>
      </c>
      <c r="B6" s="5">
        <f>COUNTIF('WhatsApp Data'!G2:G111,"Me")</f>
        <v>12</v>
      </c>
      <c r="C6" s="5"/>
    </row>
    <row r="7" spans="1:3" x14ac:dyDescent="0.3">
      <c r="A7" s="5" t="s">
        <v>34</v>
      </c>
      <c r="B7" s="5">
        <f>COUNTIF('WhatsApp Data'!G2:G111,"You")</f>
        <v>7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1036</v>
      </c>
      <c r="C10" s="6">
        <f t="shared" ref="C10:C33" si="0">IFERROR(B10/$B$2,0)</f>
        <v>9.418181818181818</v>
      </c>
    </row>
    <row r="11" spans="1:3" x14ac:dyDescent="0.3">
      <c r="A11" s="5" t="s">
        <v>3</v>
      </c>
      <c r="B11" s="5">
        <f>SUM('WhatsApp Data'!D2:D111)</f>
        <v>532</v>
      </c>
      <c r="C11" s="6">
        <f t="shared" si="0"/>
        <v>4.836363636363636</v>
      </c>
    </row>
    <row r="12" spans="1:3" x14ac:dyDescent="0.3">
      <c r="A12" s="5" t="s">
        <v>4</v>
      </c>
      <c r="B12" s="5">
        <f>SUM('WhatsApp Data'!E2:E111)</f>
        <v>504</v>
      </c>
      <c r="C12" s="6">
        <f t="shared" si="0"/>
        <v>4.581818181818182</v>
      </c>
    </row>
    <row r="13" spans="1:3" x14ac:dyDescent="0.3">
      <c r="A13" s="5" t="s">
        <v>7</v>
      </c>
      <c r="B13" s="5">
        <f>SUM('WhatsApp Data'!H2:H111)</f>
        <v>34</v>
      </c>
      <c r="C13" s="6">
        <f t="shared" si="0"/>
        <v>0.30909090909090908</v>
      </c>
    </row>
    <row r="14" spans="1:3" x14ac:dyDescent="0.3">
      <c r="A14" s="5" t="s">
        <v>8</v>
      </c>
      <c r="B14" s="5">
        <f>SUM('WhatsApp Data'!I2:I111)</f>
        <v>28</v>
      </c>
      <c r="C14" s="6">
        <f t="shared" si="0"/>
        <v>0.25454545454545452</v>
      </c>
    </row>
    <row r="15" spans="1:3" x14ac:dyDescent="0.3">
      <c r="A15" s="5" t="s">
        <v>9</v>
      </c>
      <c r="B15" s="5">
        <f>SUM('WhatsApp Data'!J2:J111)</f>
        <v>27</v>
      </c>
      <c r="C15" s="6">
        <f t="shared" si="0"/>
        <v>0.24545454545454545</v>
      </c>
    </row>
    <row r="16" spans="1:3" x14ac:dyDescent="0.3">
      <c r="A16" s="5" t="s">
        <v>10</v>
      </c>
      <c r="B16" s="5">
        <f>SUM('WhatsApp Data'!K2:K111)</f>
        <v>15</v>
      </c>
      <c r="C16" s="6">
        <f t="shared" si="0"/>
        <v>0.13636363636363635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4</v>
      </c>
      <c r="C22" s="6">
        <f t="shared" si="0"/>
        <v>3.6363636363636362E-2</v>
      </c>
    </row>
    <row r="23" spans="1:3" x14ac:dyDescent="0.3">
      <c r="A23" s="5" t="s">
        <v>17</v>
      </c>
      <c r="B23" s="5">
        <f>SUM('WhatsApp Data'!R2:R111)</f>
        <v>3</v>
      </c>
      <c r="C23" s="6">
        <f t="shared" si="0"/>
        <v>2.7272727272727271E-2</v>
      </c>
    </row>
    <row r="24" spans="1:3" x14ac:dyDescent="0.3">
      <c r="A24" s="5" t="s">
        <v>18</v>
      </c>
      <c r="B24" s="5">
        <f>SUM('WhatsApp Data'!S2:S111)</f>
        <v>9</v>
      </c>
      <c r="C24" s="6">
        <f t="shared" si="0"/>
        <v>8.1818181818181818E-2</v>
      </c>
    </row>
    <row r="25" spans="1:3" x14ac:dyDescent="0.3">
      <c r="A25" s="5" t="s">
        <v>19</v>
      </c>
      <c r="B25" s="5">
        <f>SUM('WhatsApp Data'!T2:T111)</f>
        <v>5</v>
      </c>
      <c r="C25" s="6">
        <f t="shared" si="0"/>
        <v>4.5454545454545456E-2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2</v>
      </c>
      <c r="C30" s="6">
        <f t="shared" si="0"/>
        <v>1.8181818181818181E-2</v>
      </c>
    </row>
    <row r="31" spans="1:3" x14ac:dyDescent="0.3">
      <c r="A31" s="5" t="s">
        <v>25</v>
      </c>
      <c r="B31" s="5">
        <f>SUM('WhatsApp Data'!Z2:Z111)</f>
        <v>7</v>
      </c>
      <c r="C31" s="6">
        <f t="shared" si="0"/>
        <v>6.363636363636363E-2</v>
      </c>
    </row>
    <row r="32" spans="1:3" x14ac:dyDescent="0.3">
      <c r="A32" s="5" t="s">
        <v>26</v>
      </c>
      <c r="B32" s="5">
        <f>SUM('WhatsApp Data'!AA2:AA111)</f>
        <v>3</v>
      </c>
      <c r="C32" s="6">
        <f t="shared" si="0"/>
        <v>2.7272727272727271E-2</v>
      </c>
    </row>
    <row r="33" spans="1:3" x14ac:dyDescent="0.3">
      <c r="A33" s="5" t="s">
        <v>27</v>
      </c>
      <c r="B33" s="5">
        <f>SUM('WhatsApp Data'!AB2:AB111)</f>
        <v>9</v>
      </c>
      <c r="C33" s="6">
        <f t="shared" si="0"/>
        <v>8.1818181818181818E-2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2026-10-18T18:51:43Z</dcterms:modified>
  <dc:language>en-US</dc:language>
</cp:coreProperties>
</file>