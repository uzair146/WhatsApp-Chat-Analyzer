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CF874F09-529B-47E1-ADC4-A036DFC54FBC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<sst xmlns="http://schemas.openxmlformats.org/spreadsheetml/2006/main" count="74" uniqueCount="40">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</sst>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54" sqref="G54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>
        <v>2</v>
      </c>
      <c r="D26" s="3">
        <v>1</v>
      </c>
      <c r="E26" s="3">
        <v>1</v>
      </c>
      <c r="F26" s="3" t="s">
        <v>38</v>
      </c>
      <c r="G26" s="3" t="s">
        <v>39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>
        <v>14</v>
      </c>
      <c r="D40" s="3">
        <v>7</v>
      </c>
      <c r="E40" s="3">
        <v>7</v>
      </c>
      <c r="F40" s="3" t="s">
        <v>39</v>
      </c>
      <c r="G40" s="3" t="s">
        <v>39</v>
      </c>
      <c r="H40" s="3"/>
      <c r="I40" s="3">
        <v>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>
        <v>3</v>
      </c>
      <c r="D42" s="3">
        <v>1</v>
      </c>
      <c r="E42" s="3">
        <v>2</v>
      </c>
      <c r="F42" s="3" t="s">
        <v>38</v>
      </c>
      <c r="G42" s="3" t="s">
        <v>39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>
        <v>3</v>
      </c>
      <c r="D43" s="3">
        <v>2</v>
      </c>
      <c r="E43" s="3">
        <v>1</v>
      </c>
      <c r="F43" s="3" t="s">
        <v>38</v>
      </c>
      <c r="G43" s="3" t="s">
        <v>39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>
        <v>4</v>
      </c>
      <c r="D49" s="3">
        <v>3</v>
      </c>
      <c r="E49" s="3">
        <v>1</v>
      </c>
      <c r="F49" s="3" t="s">
        <v>39</v>
      </c>
      <c r="G49" s="3" t="s">
        <v>38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>
        <v>1</v>
      </c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>
        <v>5</v>
      </c>
      <c r="D54" s="3">
        <v>4</v>
      </c>
      <c r="E54" s="3">
        <v>1</v>
      </c>
      <c r="F54" s="3" t="s">
        <v>39</v>
      </c>
      <c r="G54" s="3" t="s">
        <v>39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6</v>
      </c>
      <c r="C3" s="5"/>
    </row>
    <row r="4" spans="1:3" x14ac:dyDescent="0.3">
      <c r="A4" s="5" t="s">
        <v>31</v>
      </c>
      <c r="B4" s="5">
        <f>COUNTIF('WhatsApp Data'!F2:F111,"Me")</f>
        <v>3</v>
      </c>
      <c r="C4" s="5"/>
    </row>
    <row r="5" spans="1:3" x14ac:dyDescent="0.3">
      <c r="A5" s="5" t="s">
        <v>32</v>
      </c>
      <c r="B5" s="5">
        <f>COUNTIF('WhatsApp Data'!F2:F111,"You")</f>
        <v>3</v>
      </c>
      <c r="C5" s="5"/>
    </row>
    <row r="6" spans="1:3" x14ac:dyDescent="0.3">
      <c r="A6" s="5" t="s">
        <v>33</v>
      </c>
      <c r="B6" s="5">
        <f>COUNTIF('WhatsApp Data'!G2:G111,"Me")</f>
        <v>5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31</v>
      </c>
      <c r="C10" s="6">
        <f t="shared" ref="C10:C33" si="0">IFERROR(B10/$B$2,0)</f>
        <v>0.2818181818181818</v>
      </c>
    </row>
    <row r="11" spans="1:3" x14ac:dyDescent="0.3">
      <c r="A11" s="5" t="s">
        <v>3</v>
      </c>
      <c r="B11" s="5">
        <f>SUM('WhatsApp Data'!D2:D111)</f>
        <v>18</v>
      </c>
      <c r="C11" s="6">
        <f t="shared" si="0"/>
        <v>0.16363636363636364</v>
      </c>
    </row>
    <row r="12" spans="1:3" x14ac:dyDescent="0.3">
      <c r="A12" s="5" t="s">
        <v>4</v>
      </c>
      <c r="B12" s="5">
        <f>SUM('WhatsApp Data'!E2:E111)</f>
        <v>13</v>
      </c>
      <c r="C12" s="6">
        <f t="shared" si="0"/>
        <v>0.11818181818181818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1</v>
      </c>
      <c r="C14" s="6">
        <f t="shared" si="0"/>
        <v>9.0909090909090905E-3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1</v>
      </c>
      <c r="C24" s="6">
        <f t="shared" si="0"/>
        <v>9.0909090909090905E-3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2026-10-04T07:38:42Z</dcterms:modified>
  <dc:language>en-US</dc:language>
</cp:coreProperties>
</file>