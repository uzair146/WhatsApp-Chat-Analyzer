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CA0D0B0-4FE0-49E4-9ADE-206560CE8A6F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<sst xmlns="http://schemas.openxmlformats.org/spreadsheetml/2006/main" count="86" uniqueCount="40">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</sst>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A111" sqref="A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2</v>
      </c>
      <c r="D28" s="3">
        <v>1</v>
      </c>
      <c r="E28" s="3">
        <v>1</v>
      </c>
      <c r="F28" s="3" t="s">
        <v>38</v>
      </c>
      <c r="G28" s="3" t="s">
        <v>39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11</v>
      </c>
      <c r="D29" s="3">
        <v>7</v>
      </c>
      <c r="E29" s="3">
        <v>4</v>
      </c>
      <c r="F29" s="3" t="s">
        <v>38</v>
      </c>
      <c r="G29" s="3" t="s">
        <v>39</v>
      </c>
      <c r="H29" s="3">
        <v>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9</v>
      </c>
      <c r="D30" s="3">
        <v>7</v>
      </c>
      <c r="E30" s="3">
        <v>2</v>
      </c>
      <c r="F30" s="3" t="s">
        <v>38</v>
      </c>
      <c r="G30" s="3" t="s">
        <v>39</v>
      </c>
      <c r="H30" s="3"/>
      <c r="I30" s="3"/>
      <c r="J30" s="3">
        <v>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7</v>
      </c>
      <c r="D31" s="3">
        <v>4</v>
      </c>
      <c r="E31" s="3">
        <v>3</v>
      </c>
      <c r="F31" s="3" t="s">
        <v>39</v>
      </c>
      <c r="G31" s="3" t="s">
        <v>38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>
        <v>3</v>
      </c>
      <c r="D32" s="3">
        <v>3</v>
      </c>
      <c r="E32" s="3"/>
      <c r="F32" s="3" t="s">
        <v>38</v>
      </c>
      <c r="G32" s="3" t="s">
        <v>38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1</v>
      </c>
      <c r="D33" s="3"/>
      <c r="E33" s="3">
        <v>1</v>
      </c>
      <c r="F33" s="3" t="s">
        <v>39</v>
      </c>
      <c r="G33" s="3" t="s">
        <v>39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1</v>
      </c>
      <c r="D34" s="3"/>
      <c r="E34" s="3">
        <v>1</v>
      </c>
      <c r="F34" s="3" t="s">
        <v>39</v>
      </c>
      <c r="G34" s="3" t="s">
        <v>39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>
        <v>3</v>
      </c>
      <c r="D98" s="3">
        <v>1</v>
      </c>
      <c r="E98" s="3">
        <v>2</v>
      </c>
      <c r="F98" s="3" t="s">
        <v>38</v>
      </c>
      <c r="G98" s="3" t="s">
        <v>39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>
        <v>45</v>
      </c>
      <c r="D99" s="3">
        <v>20</v>
      </c>
      <c r="E99" s="3">
        <v>25</v>
      </c>
      <c r="F99" s="3" t="s">
        <v>38</v>
      </c>
      <c r="G99" s="3" t="s">
        <v>39</v>
      </c>
      <c r="H99" s="3">
        <v>1</v>
      </c>
      <c r="I99" s="3"/>
      <c r="J99" s="3">
        <v>2</v>
      </c>
      <c r="K99" s="3">
        <v>3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>
        <v>1</v>
      </c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15</v>
      </c>
      <c r="D105" s="3">
        <v>5</v>
      </c>
      <c r="E105" s="3">
        <v>10</v>
      </c>
      <c r="F105" s="3" t="s">
        <v>39</v>
      </c>
      <c r="G105" s="3" t="s">
        <v>39</v>
      </c>
      <c r="H105" s="3"/>
      <c r="I105" s="3">
        <v>2</v>
      </c>
      <c r="J105" s="3">
        <v>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2</v>
      </c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3</v>
      </c>
      <c r="D108" s="3">
        <v>2</v>
      </c>
      <c r="E108" s="3">
        <v>1</v>
      </c>
      <c r="F108" s="3" t="s">
        <v>38</v>
      </c>
      <c r="G108" s="3" t="s">
        <v>38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77</v>
      </c>
      <c r="D111" s="3">
        <v>31</v>
      </c>
      <c r="E111" s="3">
        <v>46</v>
      </c>
      <c r="F111" s="3" t="s">
        <v>39</v>
      </c>
      <c r="G111" s="3" t="s">
        <v>38</v>
      </c>
      <c r="H111" s="3">
        <v>2</v>
      </c>
      <c r="I111" s="3">
        <v>1</v>
      </c>
      <c r="J111" s="3">
        <v>2</v>
      </c>
      <c r="K111" s="3">
        <v>3</v>
      </c>
      <c r="L111" s="3"/>
      <c r="M111" s="3"/>
      <c r="N111" s="3"/>
      <c r="O111" s="3"/>
      <c r="P111" s="3"/>
      <c r="Q111" s="3">
        <v>2</v>
      </c>
      <c r="R111" s="3"/>
      <c r="S111" s="3"/>
      <c r="T111" s="3">
        <v>3</v>
      </c>
      <c r="U111" s="3"/>
      <c r="V111" s="3"/>
      <c r="W111" s="3"/>
      <c r="X111" s="3"/>
      <c r="Y111" s="3"/>
      <c r="Z111" s="3">
        <v>1</v>
      </c>
      <c r="AA111" s="3">
        <v>2</v>
      </c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12</v>
      </c>
      <c r="C3" s="5"/>
    </row>
    <row r="4" spans="1:3" x14ac:dyDescent="0.3">
      <c r="A4" s="5" t="s">
        <v>31</v>
      </c>
      <c r="B4" s="5">
        <f>COUNTIF('WhatsApp Data'!F2:F111,"Me")</f>
        <v>7</v>
      </c>
      <c r="C4" s="5"/>
    </row>
    <row r="5" spans="1:3" x14ac:dyDescent="0.3">
      <c r="A5" s="5" t="s">
        <v>32</v>
      </c>
      <c r="B5" s="5">
        <f>COUNTIF('WhatsApp Data'!F2:F111,"You")</f>
        <v>5</v>
      </c>
      <c r="C5" s="5"/>
    </row>
    <row r="6" spans="1:3" x14ac:dyDescent="0.3">
      <c r="A6" s="5" t="s">
        <v>33</v>
      </c>
      <c r="B6" s="5">
        <f>COUNTIF('WhatsApp Data'!G2:G111,"Me")</f>
        <v>4</v>
      </c>
      <c r="C6" s="5"/>
    </row>
    <row r="7" spans="1:3" x14ac:dyDescent="0.3">
      <c r="A7" s="5" t="s">
        <v>34</v>
      </c>
      <c r="B7" s="5">
        <f>COUNTIF('WhatsApp Data'!G2:G111,"You")</f>
        <v>8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177</v>
      </c>
      <c r="C10" s="6">
        <f t="shared" ref="C10:C33" si="0">IFERROR(B10/$B$2,0)</f>
        <v>1.6090909090909091</v>
      </c>
    </row>
    <row r="11" spans="1:3" x14ac:dyDescent="0.3">
      <c r="A11" s="5" t="s">
        <v>3</v>
      </c>
      <c r="B11" s="5">
        <f>SUM('WhatsApp Data'!D2:D111)</f>
        <v>81</v>
      </c>
      <c r="C11" s="6">
        <f t="shared" si="0"/>
        <v>0.73636363636363633</v>
      </c>
    </row>
    <row r="12" spans="1:3" x14ac:dyDescent="0.3">
      <c r="A12" s="5" t="s">
        <v>4</v>
      </c>
      <c r="B12" s="5">
        <f>SUM('WhatsApp Data'!E2:E111)</f>
        <v>96</v>
      </c>
      <c r="C12" s="6">
        <f t="shared" si="0"/>
        <v>0.87272727272727268</v>
      </c>
    </row>
    <row r="13" spans="1:3" x14ac:dyDescent="0.3">
      <c r="A13" s="5" t="s">
        <v>7</v>
      </c>
      <c r="B13" s="5">
        <f>SUM('WhatsApp Data'!H2:H111)</f>
        <v>5</v>
      </c>
      <c r="C13" s="6">
        <f t="shared" si="0"/>
        <v>4.5454545454545456E-2</v>
      </c>
    </row>
    <row r="14" spans="1:3" x14ac:dyDescent="0.3">
      <c r="A14" s="5" t="s">
        <v>8</v>
      </c>
      <c r="B14" s="5">
        <f>SUM('WhatsApp Data'!I2:I111)</f>
        <v>3</v>
      </c>
      <c r="C14" s="6">
        <f t="shared" si="0"/>
        <v>2.7272727272727271E-2</v>
      </c>
    </row>
    <row r="15" spans="1:3" x14ac:dyDescent="0.3">
      <c r="A15" s="5" t="s">
        <v>9</v>
      </c>
      <c r="B15" s="5">
        <f>SUM('WhatsApp Data'!J2:J111)</f>
        <v>8</v>
      </c>
      <c r="C15" s="6">
        <f t="shared" si="0"/>
        <v>7.2727272727272724E-2</v>
      </c>
    </row>
    <row r="16" spans="1:3" x14ac:dyDescent="0.3">
      <c r="A16" s="5" t="s">
        <v>10</v>
      </c>
      <c r="B16" s="5">
        <f>SUM('WhatsApp Data'!K2:K111)</f>
        <v>6</v>
      </c>
      <c r="C16" s="6">
        <f t="shared" si="0"/>
        <v>5.4545454545454543E-2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2</v>
      </c>
      <c r="C22" s="6">
        <f t="shared" si="0"/>
        <v>1.8181818181818181E-2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3</v>
      </c>
      <c r="C25" s="6">
        <f t="shared" si="0"/>
        <v>2.7272727272727271E-2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1</v>
      </c>
      <c r="C31" s="6">
        <f t="shared" si="0"/>
        <v>9.0909090909090905E-3</v>
      </c>
    </row>
    <row r="32" spans="1:3" x14ac:dyDescent="0.3">
      <c r="A32" s="5" t="s">
        <v>26</v>
      </c>
      <c r="B32" s="5">
        <f>SUM('WhatsApp Data'!AA2:AA111)</f>
        <v>2</v>
      </c>
      <c r="C32" s="6">
        <f t="shared" si="0"/>
        <v>1.8181818181818181E-2</v>
      </c>
    </row>
    <row r="33" spans="1:3" x14ac:dyDescent="0.3">
      <c r="A33" s="5" t="s">
        <v>27</v>
      </c>
      <c r="B33" s="5">
        <f>SUM('WhatsApp Data'!AB2:AB111)</f>
        <v>2</v>
      </c>
      <c r="C33" s="6">
        <f t="shared" si="0"/>
        <v>1.8181818181818181E-2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2026-10-18T09:23:45Z</dcterms:modified>
  <dc:language>en-US</dc:language>
</cp:coreProperties>
</file>