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64000934-192D-4499-9355-033CE396A5CE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<sst xmlns="http://schemas.openxmlformats.org/spreadsheetml/2006/main" count="84" uniqueCount="40">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</sst>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6" activePane="bottomRight" state="frozen"/>
      <selection pane="topRight" activeCell="C1" sqref="C1"/>
      <selection pane="bottomLeft" activeCell="A2" sqref="A2"/>
      <selection pane="bottomRight" activeCell="D110" sqref="D1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>
        <v>1</v>
      </c>
      <c r="D33" s="3"/>
      <c r="E33" s="3">
        <v>1</v>
      </c>
      <c r="F33" s="3" t="s">
        <v>38</v>
      </c>
      <c r="G33" s="3" t="s">
        <v>38</v>
      </c>
      <c r="H33" s="3"/>
      <c r="I33" s="3"/>
      <c r="J33" s="3"/>
      <c r="K33" s="3"/>
      <c r="L33" s="3"/>
      <c r="M33" s="3"/>
      <c r="N33" s="3">
        <v>1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>
        <v>1</v>
      </c>
      <c r="D50" s="3">
        <v>1</v>
      </c>
      <c r="E50" s="3"/>
      <c r="F50" s="3" t="s">
        <v>39</v>
      </c>
      <c r="G50" s="3" t="s">
        <v>39</v>
      </c>
      <c r="H50" s="3"/>
      <c r="I50" s="3"/>
      <c r="J50" s="3"/>
      <c r="K50" s="3"/>
      <c r="L50" s="3"/>
      <c r="M50" s="3">
        <v>1</v>
      </c>
      <c r="N50" s="3"/>
      <c r="O50" s="3"/>
      <c r="P50" s="3">
        <v>4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11</v>
      </c>
      <c r="D53" s="3">
        <v>5</v>
      </c>
      <c r="E53" s="3">
        <v>6</v>
      </c>
      <c r="F53" s="3" t="s">
        <v>39</v>
      </c>
      <c r="G53" s="3" t="s">
        <v>38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>
        <v>1</v>
      </c>
      <c r="T53" s="3"/>
      <c r="U53" s="3"/>
      <c r="V53" s="3"/>
      <c r="W53" s="3"/>
      <c r="X53" s="3"/>
      <c r="Y53" s="3">
        <v>1</v>
      </c>
      <c r="Z53" s="3"/>
      <c r="AA53" s="3"/>
      <c r="AB53" s="3">
        <v>1</v>
      </c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2</v>
      </c>
      <c r="D63" s="3">
        <v>1</v>
      </c>
      <c r="E63" s="3">
        <v>1</v>
      </c>
      <c r="F63" s="3" t="s">
        <v>38</v>
      </c>
      <c r="G63" s="3" t="s">
        <v>39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7</v>
      </c>
      <c r="D69" s="3">
        <v>3</v>
      </c>
      <c r="E69" s="3">
        <v>4</v>
      </c>
      <c r="F69" s="3" t="s">
        <v>39</v>
      </c>
      <c r="G69" s="3" t="s">
        <v>38</v>
      </c>
      <c r="H69" s="3"/>
      <c r="I69" s="3"/>
      <c r="J69" s="3">
        <v>2</v>
      </c>
      <c r="K69" s="3">
        <v>2</v>
      </c>
      <c r="L69" s="3"/>
      <c r="M69" s="3">
        <v>1</v>
      </c>
      <c r="N69" s="3"/>
      <c r="O69" s="3"/>
      <c r="P69" s="3">
        <v>12</v>
      </c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2</v>
      </c>
      <c r="D70" s="3">
        <v>2</v>
      </c>
      <c r="E70" s="3"/>
      <c r="F70" s="3" t="s">
        <v>39</v>
      </c>
      <c r="G70" s="3" t="s">
        <v>39</v>
      </c>
      <c r="H70" s="3"/>
      <c r="I70" s="3"/>
      <c r="J70" s="3">
        <v>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6</v>
      </c>
      <c r="D73" s="3">
        <v>2</v>
      </c>
      <c r="E73" s="3">
        <v>4</v>
      </c>
      <c r="F73" s="3" t="s">
        <v>38</v>
      </c>
      <c r="G73" s="3" t="s">
        <v>39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>
        <v>1</v>
      </c>
      <c r="D101" s="3"/>
      <c r="E101" s="3">
        <v>1</v>
      </c>
      <c r="F101" s="3" t="s">
        <v>38</v>
      </c>
      <c r="G101" s="3" t="s">
        <v>38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6</v>
      </c>
      <c r="D105" s="3">
        <v>3</v>
      </c>
      <c r="E105" s="3">
        <v>3</v>
      </c>
      <c r="F105" s="3" t="s">
        <v>38</v>
      </c>
      <c r="G105" s="3" t="s">
        <v>39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>
        <v>3</v>
      </c>
      <c r="D106" s="3"/>
      <c r="E106" s="3">
        <v>3</v>
      </c>
      <c r="F106" s="3" t="s">
        <v>38</v>
      </c>
      <c r="G106" s="3" t="s">
        <v>38</v>
      </c>
      <c r="H106" s="3"/>
      <c r="I106" s="3"/>
      <c r="J106" s="3"/>
      <c r="K106" s="3"/>
      <c r="L106" s="3"/>
      <c r="M106" s="3"/>
      <c r="N106" s="3">
        <v>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29</v>
      </c>
      <c r="D110" s="3">
        <v>11</v>
      </c>
      <c r="E110" s="3">
        <v>18</v>
      </c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11</v>
      </c>
      <c r="C3" s="5"/>
    </row>
    <row r="4" spans="1:3" x14ac:dyDescent="0.3">
      <c r="A4" s="5" t="s">
        <v>31</v>
      </c>
      <c r="B4" s="5">
        <f>COUNTIF('WhatsApp Data'!F2:F111,"Me")</f>
        <v>4</v>
      </c>
      <c r="C4" s="5"/>
    </row>
    <row r="5" spans="1:3" x14ac:dyDescent="0.3">
      <c r="A5" s="5" t="s">
        <v>32</v>
      </c>
      <c r="B5" s="5">
        <f>COUNTIF('WhatsApp Data'!F2:F111,"You")</f>
        <v>7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6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69</v>
      </c>
      <c r="C10" s="6">
        <f t="shared" ref="C10:C33" si="0">IFERROR(B10/$B$2,0)</f>
        <v>0.62727272727272732</v>
      </c>
    </row>
    <row r="11" spans="1:3" x14ac:dyDescent="0.3">
      <c r="A11" s="5" t="s">
        <v>3</v>
      </c>
      <c r="B11" s="5">
        <f>SUM('WhatsApp Data'!D2:D111)</f>
        <v>28</v>
      </c>
      <c r="C11" s="6">
        <f t="shared" si="0"/>
        <v>0.25454545454545452</v>
      </c>
    </row>
    <row r="12" spans="1:3" x14ac:dyDescent="0.3">
      <c r="A12" s="5" t="s">
        <v>4</v>
      </c>
      <c r="B12" s="5">
        <f>SUM('WhatsApp Data'!E2:E111)</f>
        <v>41</v>
      </c>
      <c r="C12" s="6">
        <f t="shared" si="0"/>
        <v>0.37272727272727274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3</v>
      </c>
      <c r="C15" s="6">
        <f t="shared" si="0"/>
        <v>2.7272727272727271E-2</v>
      </c>
    </row>
    <row r="16" spans="1:3" x14ac:dyDescent="0.3">
      <c r="A16" s="5" t="s">
        <v>10</v>
      </c>
      <c r="B16" s="5">
        <f>SUM('WhatsApp Data'!K2:K111)</f>
        <v>2</v>
      </c>
      <c r="C16" s="6">
        <f t="shared" si="0"/>
        <v>1.8181818181818181E-2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2</v>
      </c>
      <c r="C18" s="6">
        <f t="shared" si="0"/>
        <v>1.8181818181818181E-2</v>
      </c>
    </row>
    <row r="19" spans="1:3" x14ac:dyDescent="0.3">
      <c r="A19" s="5" t="s">
        <v>13</v>
      </c>
      <c r="B19" s="5">
        <f>SUM('WhatsApp Data'!N2:N111)</f>
        <v>4</v>
      </c>
      <c r="C19" s="6">
        <f t="shared" si="0"/>
        <v>3.6363636363636362E-2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16</v>
      </c>
      <c r="C21" s="6">
        <f t="shared" si="0"/>
        <v>0.14545454545454545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2</v>
      </c>
      <c r="C31" s="6">
        <f t="shared" si="0"/>
        <v>1.8181818181818181E-2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2</v>
      </c>
      <c r="C33" s="6">
        <f t="shared" si="0"/>
        <v>1.8181818181818181E-2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2026-10-18T09:11:02Z</dcterms:modified>
  <dc:language>en-US</dc:language>
</cp:coreProperties>
</file>