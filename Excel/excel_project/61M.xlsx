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487A40A8-C7BC-4B81-8FA5-76726575805A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<sst xmlns="http://schemas.openxmlformats.org/spreadsheetml/2006/main" count="78" uniqueCount="40">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</sst>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H95" sqref="H95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>
        <v>1</v>
      </c>
      <c r="D38" s="3"/>
      <c r="E38" s="3">
        <v>1</v>
      </c>
      <c r="F38" s="3" t="s">
        <v>38</v>
      </c>
      <c r="G38" s="3" t="s">
        <v>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>
        <v>3</v>
      </c>
      <c r="D39" s="3">
        <v>1</v>
      </c>
      <c r="E39" s="3">
        <v>2</v>
      </c>
      <c r="F39" s="3" t="s">
        <v>39</v>
      </c>
      <c r="G39" s="3" t="s">
        <v>38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>
        <v>3</v>
      </c>
      <c r="D47" s="3">
        <v>2</v>
      </c>
      <c r="E47" s="3">
        <v>1</v>
      </c>
      <c r="F47" s="3" t="s">
        <v>39</v>
      </c>
      <c r="G47" s="3" t="s">
        <v>38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>
        <v>8</v>
      </c>
      <c r="D51" s="3">
        <v>3</v>
      </c>
      <c r="E51" s="3">
        <v>5</v>
      </c>
      <c r="F51" s="3" t="s">
        <v>38</v>
      </c>
      <c r="G51" s="3" t="s">
        <v>38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3</v>
      </c>
      <c r="D63" s="3">
        <v>1</v>
      </c>
      <c r="E63" s="3">
        <v>2</v>
      </c>
      <c r="F63" s="3" t="s">
        <v>39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>
        <v>1</v>
      </c>
      <c r="D64" s="3">
        <v>1</v>
      </c>
      <c r="E64" s="3"/>
      <c r="F64" s="3" t="s">
        <v>39</v>
      </c>
      <c r="G64" s="3" t="s">
        <v>39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>
        <v>3</v>
      </c>
      <c r="D65" s="3">
        <v>2</v>
      </c>
      <c r="E65" s="3">
        <v>1</v>
      </c>
      <c r="F65" s="3" t="s">
        <v>38</v>
      </c>
      <c r="G65" s="3" t="s">
        <v>39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>
        <v>15</v>
      </c>
      <c r="D95" s="3">
        <v>5</v>
      </c>
      <c r="E95" s="3">
        <v>10</v>
      </c>
      <c r="F95" s="3" t="s">
        <v>38</v>
      </c>
      <c r="G95" s="3" t="s">
        <v>38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8</v>
      </c>
      <c r="C3" s="5"/>
    </row>
    <row r="4" spans="1:3" x14ac:dyDescent="0.3">
      <c r="A4" s="5" t="s">
        <v>31</v>
      </c>
      <c r="B4" s="5">
        <f>COUNTIF('WhatsApp Data'!F2:F111,"Me")</f>
        <v>4</v>
      </c>
      <c r="C4" s="5"/>
    </row>
    <row r="5" spans="1:3" x14ac:dyDescent="0.3">
      <c r="A5" s="5" t="s">
        <v>32</v>
      </c>
      <c r="B5" s="5">
        <f>COUNTIF('WhatsApp Data'!F2:F111,"You")</f>
        <v>4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6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37</v>
      </c>
      <c r="C10" s="6">
        <f t="shared" ref="C10:C33" si="0">IFERROR(B10/$B$2,0)</f>
        <v>0.33636363636363636</v>
      </c>
    </row>
    <row r="11" spans="1:3" x14ac:dyDescent="0.3">
      <c r="A11" s="5" t="s">
        <v>3</v>
      </c>
      <c r="B11" s="5">
        <f>SUM('WhatsApp Data'!D2:D111)</f>
        <v>15</v>
      </c>
      <c r="C11" s="6">
        <f t="shared" si="0"/>
        <v>0.13636363636363635</v>
      </c>
    </row>
    <row r="12" spans="1:3" x14ac:dyDescent="0.3">
      <c r="A12" s="5" t="s">
        <v>4</v>
      </c>
      <c r="B12" s="5">
        <f>SUM('WhatsApp Data'!E2:E111)</f>
        <v>22</v>
      </c>
      <c r="C12" s="6">
        <f t="shared" si="0"/>
        <v>0.2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2026-10-17T18:30:31Z</dcterms:modified>
  <dc:language>en-US</dc:language>
</cp:coreProperties>
</file>