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1E6714F2-3AE8-4E48-8DF6-C0B67C0AB2C2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C13" i="2" l="1"/>
</calcChain>
</file>

<file path=xl/sharedStrings.xml><?xml version="1.0" encoding="utf-8"?>
<sst xmlns="http://schemas.openxmlformats.org/spreadsheetml/2006/main" count="74" uniqueCount="40">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</sst>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Q85" activePane="bottomRight" state="frozen"/>
      <selection pane="topRight" activeCell="C1" sqref="C1"/>
      <selection pane="bottomLeft" activeCell="A2" sqref="A2"/>
      <selection pane="bottomRight" activeCell="AC109" sqref="AC109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>
        <v>3</v>
      </c>
      <c r="D40" s="3">
        <v>2</v>
      </c>
      <c r="E40" s="3">
        <v>1</v>
      </c>
      <c r="F40" s="3" t="s">
        <v>38</v>
      </c>
      <c r="G40" s="3" t="s">
        <v>38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>
        <v>13</v>
      </c>
      <c r="D44" s="3">
        <v>7</v>
      </c>
      <c r="E44" s="3">
        <v>6</v>
      </c>
      <c r="F44" s="3" t="s">
        <v>39</v>
      </c>
      <c r="G44" s="3" t="s">
        <v>38</v>
      </c>
      <c r="H44" s="3">
        <v>1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>
        <v>2</v>
      </c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>
        <v>6</v>
      </c>
      <c r="D49" s="3">
        <v>4</v>
      </c>
      <c r="E49" s="3">
        <v>2</v>
      </c>
      <c r="F49" s="3" t="s">
        <v>38</v>
      </c>
      <c r="G49" s="3" t="s">
        <v>38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>
        <v>8</v>
      </c>
      <c r="D54" s="3">
        <v>7</v>
      </c>
      <c r="E54" s="3">
        <v>1</v>
      </c>
      <c r="F54" s="3" t="s">
        <v>38</v>
      </c>
      <c r="G54" s="3" t="s">
        <v>38</v>
      </c>
      <c r="H54" s="3"/>
      <c r="I54" s="3"/>
      <c r="J54" s="3"/>
      <c r="K54" s="3"/>
      <c r="L54" s="3"/>
      <c r="M54" s="3"/>
      <c r="N54" s="3"/>
      <c r="O54" s="3"/>
      <c r="P54" s="3"/>
      <c r="Q54" s="3">
        <v>7</v>
      </c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>
        <v>4</v>
      </c>
      <c r="D95" s="3">
        <v>3</v>
      </c>
      <c r="E95" s="3">
        <v>1</v>
      </c>
      <c r="F95" s="3" t="s">
        <v>38</v>
      </c>
      <c r="G95" s="3" t="s">
        <v>39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11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>
        <v>11</v>
      </c>
      <c r="D109" s="3">
        <v>8</v>
      </c>
      <c r="E109" s="3">
        <v>3</v>
      </c>
      <c r="F109" s="3" t="s">
        <v>38</v>
      </c>
      <c r="G109" s="3" t="s">
        <v>38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>
        <v>1</v>
      </c>
      <c r="Y109" s="3"/>
      <c r="Z109" s="3"/>
      <c r="AA109" s="3">
        <v>1</v>
      </c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6</v>
      </c>
      <c r="C3" s="5"/>
    </row>
    <row r="4" spans="1:3" x14ac:dyDescent="0.3">
      <c r="A4" s="5" t="s">
        <v>31</v>
      </c>
      <c r="B4" s="5">
        <f>COUNTIF('WhatsApp Data'!F2:F111,"Me")</f>
        <v>5</v>
      </c>
      <c r="C4" s="5"/>
    </row>
    <row r="5" spans="1:3" x14ac:dyDescent="0.3">
      <c r="A5" s="5" t="s">
        <v>32</v>
      </c>
      <c r="B5" s="5">
        <f>COUNTIF('WhatsApp Data'!F2:F111,"You")</f>
        <v>1</v>
      </c>
      <c r="C5" s="5"/>
    </row>
    <row r="6" spans="1:3" x14ac:dyDescent="0.3">
      <c r="A6" s="5" t="s">
        <v>33</v>
      </c>
      <c r="B6" s="5">
        <f>COUNTIF('WhatsApp Data'!G2:G111,"Me")</f>
        <v>5</v>
      </c>
      <c r="C6" s="5"/>
    </row>
    <row r="7" spans="1:3" x14ac:dyDescent="0.3">
      <c r="A7" s="5" t="s">
        <v>34</v>
      </c>
      <c r="B7" s="5">
        <f>COUNTIF('WhatsApp Data'!G2:G111,"You")</f>
        <v>1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45</v>
      </c>
      <c r="C10" s="6">
        <f t="shared" ref="C10:C33" si="0">IFERROR(B10/$B$2,0)</f>
        <v>0.40909090909090912</v>
      </c>
    </row>
    <row r="11" spans="1:3" x14ac:dyDescent="0.3">
      <c r="A11" s="5" t="s">
        <v>3</v>
      </c>
      <c r="B11" s="5">
        <f>SUM('WhatsApp Data'!D2:D111)</f>
        <v>31</v>
      </c>
      <c r="C11" s="6">
        <f t="shared" si="0"/>
        <v>0.2818181818181818</v>
      </c>
    </row>
    <row r="12" spans="1:3" x14ac:dyDescent="0.3">
      <c r="A12" s="5" t="s">
        <v>4</v>
      </c>
      <c r="B12" s="5">
        <f>SUM('WhatsApp Data'!E2:E111)</f>
        <v>14</v>
      </c>
      <c r="C12" s="6">
        <f t="shared" si="0"/>
        <v>0.12727272727272726</v>
      </c>
    </row>
    <row r="13" spans="1:3" x14ac:dyDescent="0.3">
      <c r="A13" s="5" t="s">
        <v>7</v>
      </c>
      <c r="B13" s="5">
        <f>SUM('WhatsApp Data'!H2:H111)</f>
        <v>1</v>
      </c>
      <c r="C13" s="6">
        <f t="shared" si="0"/>
        <v>9.0909090909090905E-3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7</v>
      </c>
      <c r="C22" s="6">
        <f t="shared" si="0"/>
        <v>6.363636363636363E-2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2</v>
      </c>
      <c r="C24" s="6">
        <f t="shared" si="0"/>
        <v>1.8181818181818181E-2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1</v>
      </c>
      <c r="C29" s="6">
        <f t="shared" si="0"/>
        <v>9.0909090909090905E-3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1</v>
      </c>
      <c r="C32" s="6">
        <f t="shared" si="0"/>
        <v>9.0909090909090905E-3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2026-10-03T13:57:52Z</dcterms:modified>
  <dc:language>en-US</dc:language>
</cp:coreProperties>
</file>