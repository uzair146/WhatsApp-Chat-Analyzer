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EE45754-461B-4B49-AC4D-06105AEAB386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<sst xmlns="http://schemas.openxmlformats.org/spreadsheetml/2006/main" count="152" uniqueCount="40">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</sst>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4" activePane="bottomRight" state="frozen"/>
      <selection pane="topRight" activeCell="C1" sqref="C1"/>
      <selection pane="bottomLeft" activeCell="A2" sqref="A2"/>
      <selection pane="bottomRight" activeCell="A111" sqref="A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12</v>
      </c>
      <c r="D2" s="3">
        <v>9</v>
      </c>
      <c r="E2" s="3">
        <v>3</v>
      </c>
      <c r="F2" s="3" t="s">
        <v>38</v>
      </c>
      <c r="G2" s="3" t="s">
        <v>38</v>
      </c>
      <c r="H2" s="3"/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4</v>
      </c>
      <c r="D5" s="3">
        <v>3</v>
      </c>
      <c r="E5" s="3">
        <v>1</v>
      </c>
      <c r="F5" s="3" t="s">
        <v>38</v>
      </c>
      <c r="G5" s="3" t="s">
        <v>38</v>
      </c>
      <c r="H5" s="3"/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</v>
      </c>
      <c r="D8" s="3">
        <v>2</v>
      </c>
      <c r="E8" s="3"/>
      <c r="F8" s="3" t="s">
        <v>38</v>
      </c>
      <c r="G8" s="3" t="s">
        <v>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</row>
    <row r="9" spans="1:28" x14ac:dyDescent="0.3">
      <c r="A9" s="2">
        <v>46048</v>
      </c>
      <c r="B9" s="3" t="str">
        <f t="shared" si="0"/>
        <v>Mon</v>
      </c>
      <c r="C9" s="3">
        <v>24</v>
      </c>
      <c r="D9" s="3">
        <v>14</v>
      </c>
      <c r="E9" s="3">
        <v>10</v>
      </c>
      <c r="F9" s="3" t="s">
        <v>38</v>
      </c>
      <c r="G9" s="3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2</v>
      </c>
      <c r="D17" s="3">
        <v>2</v>
      </c>
      <c r="E17" s="3"/>
      <c r="F17" s="3" t="s">
        <v>38</v>
      </c>
      <c r="G17" s="3" t="s">
        <v>38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15</v>
      </c>
      <c r="D19" s="3">
        <v>13</v>
      </c>
      <c r="E19" s="3">
        <v>2</v>
      </c>
      <c r="F19" s="3" t="s">
        <v>38</v>
      </c>
      <c r="G19" s="3" t="s">
        <v>38</v>
      </c>
      <c r="H19" s="3"/>
      <c r="I19" s="3"/>
      <c r="J19" s="3"/>
      <c r="K19" s="3">
        <v>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2</v>
      </c>
      <c r="D23" s="3">
        <v>1</v>
      </c>
      <c r="E23" s="3">
        <v>1</v>
      </c>
      <c r="F23" s="3" t="s">
        <v>38</v>
      </c>
      <c r="G23" s="3" t="s">
        <v>39</v>
      </c>
      <c r="H23" s="3"/>
      <c r="I23" s="3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8</v>
      </c>
      <c r="D27" s="3">
        <v>4</v>
      </c>
      <c r="E27" s="3">
        <v>4</v>
      </c>
      <c r="F27" s="3" t="s">
        <v>39</v>
      </c>
      <c r="G27" s="3" t="s">
        <v>39</v>
      </c>
      <c r="H27" s="3"/>
      <c r="I27" s="3">
        <v>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2</v>
      </c>
      <c r="D29" s="3">
        <v>1</v>
      </c>
      <c r="E29" s="3">
        <v>1</v>
      </c>
      <c r="F29" s="3" t="s">
        <v>38</v>
      </c>
      <c r="G29" s="3" t="s">
        <v>39</v>
      </c>
      <c r="H29" s="3"/>
      <c r="I29" s="3"/>
      <c r="J29" s="3">
        <v>1</v>
      </c>
      <c r="K29" s="3">
        <v>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35</v>
      </c>
      <c r="D30" s="3">
        <v>20</v>
      </c>
      <c r="E30" s="3">
        <v>15</v>
      </c>
      <c r="F30" s="3" t="s">
        <v>39</v>
      </c>
      <c r="G30" s="3" t="s">
        <v>39</v>
      </c>
      <c r="H30" s="3"/>
      <c r="I30" s="3"/>
      <c r="J30" s="3">
        <v>4</v>
      </c>
      <c r="K30" s="3">
        <v>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7</v>
      </c>
      <c r="D35" s="3">
        <v>1</v>
      </c>
      <c r="E35" s="3">
        <v>6</v>
      </c>
      <c r="F35" s="3" t="s">
        <v>39</v>
      </c>
      <c r="G35" s="3" t="s">
        <v>39</v>
      </c>
      <c r="H35" s="3"/>
      <c r="I35" s="3">
        <v>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21</v>
      </c>
      <c r="D36" s="3">
        <v>6</v>
      </c>
      <c r="E36" s="3">
        <v>15</v>
      </c>
      <c r="F36" s="3" t="s">
        <v>38</v>
      </c>
      <c r="G36" s="3" t="s">
        <v>38</v>
      </c>
      <c r="H36" s="3"/>
      <c r="I36" s="3"/>
      <c r="J36" s="3">
        <v>1</v>
      </c>
      <c r="K36" s="3"/>
      <c r="L36" s="3"/>
      <c r="M36" s="3"/>
      <c r="N36" s="3">
        <v>1</v>
      </c>
      <c r="O36" s="3"/>
      <c r="P36" s="3"/>
      <c r="Q36" s="3"/>
      <c r="R36" s="3"/>
      <c r="S36" s="3"/>
      <c r="T36" s="3">
        <v>1</v>
      </c>
      <c r="U36" s="3"/>
      <c r="V36" s="3"/>
      <c r="W36" s="3"/>
      <c r="X36" s="3"/>
      <c r="Y36" s="3"/>
      <c r="Z36" s="3">
        <v>2</v>
      </c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5</v>
      </c>
      <c r="D37" s="3">
        <v>3</v>
      </c>
      <c r="E37" s="3">
        <v>2</v>
      </c>
      <c r="F37" s="3" t="s">
        <v>38</v>
      </c>
      <c r="G37" s="3" t="s">
        <v>39</v>
      </c>
      <c r="H37" s="3"/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10</v>
      </c>
      <c r="D40" s="3">
        <v>6</v>
      </c>
      <c r="E40" s="3">
        <v>4</v>
      </c>
      <c r="F40" s="3" t="s">
        <v>38</v>
      </c>
      <c r="G40" s="3" t="s">
        <v>39</v>
      </c>
      <c r="H40" s="3"/>
      <c r="I40" s="3"/>
      <c r="J40" s="3">
        <v>2</v>
      </c>
      <c r="K40" s="3">
        <v>2</v>
      </c>
      <c r="L40" s="3"/>
      <c r="M40" s="3"/>
      <c r="N40" s="3"/>
      <c r="O40" s="3"/>
      <c r="P40" s="3"/>
      <c r="Q40" s="3"/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2</v>
      </c>
      <c r="D43" s="3">
        <v>1</v>
      </c>
      <c r="E43" s="3">
        <v>1</v>
      </c>
      <c r="F43" s="3" t="s">
        <v>39</v>
      </c>
      <c r="G43" s="3" t="s">
        <v>38</v>
      </c>
      <c r="H43" s="3"/>
      <c r="I43" s="3"/>
      <c r="J43" s="3"/>
      <c r="K43" s="3">
        <v>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2</v>
      </c>
      <c r="D44" s="3">
        <v>1</v>
      </c>
      <c r="E44" s="3">
        <v>1</v>
      </c>
      <c r="F44" s="3" t="s">
        <v>38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2</v>
      </c>
      <c r="D45" s="3">
        <v>1</v>
      </c>
      <c r="E45" s="3">
        <v>1</v>
      </c>
      <c r="F45" s="3" t="s">
        <v>39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4</v>
      </c>
      <c r="D49" s="3">
        <v>1</v>
      </c>
      <c r="E49" s="3">
        <v>3</v>
      </c>
      <c r="F49" s="3" t="s">
        <v>39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6</v>
      </c>
      <c r="D51" s="3">
        <v>4</v>
      </c>
      <c r="E51" s="3">
        <v>2</v>
      </c>
      <c r="F51" s="3" t="s">
        <v>38</v>
      </c>
      <c r="G51" s="3" t="s">
        <v>38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8</v>
      </c>
      <c r="D53" s="3">
        <v>2</v>
      </c>
      <c r="E53" s="3">
        <v>6</v>
      </c>
      <c r="F53" s="3" t="s">
        <v>39</v>
      </c>
      <c r="G53" s="3" t="s">
        <v>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>
        <v>1</v>
      </c>
      <c r="T53" s="3"/>
      <c r="U53" s="3"/>
      <c r="V53" s="3"/>
      <c r="W53" s="3"/>
      <c r="X53" s="3"/>
      <c r="Y53" s="3"/>
      <c r="Z53" s="3">
        <v>1</v>
      </c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6</v>
      </c>
      <c r="D55" s="3">
        <v>3</v>
      </c>
      <c r="E55" s="3">
        <v>3</v>
      </c>
      <c r="F55" s="3" t="s">
        <v>38</v>
      </c>
      <c r="G55" s="3" t="s">
        <v>38</v>
      </c>
      <c r="H55" s="3"/>
      <c r="I55" s="3"/>
      <c r="J55" s="3">
        <v>1</v>
      </c>
      <c r="K55" s="3">
        <v>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13</v>
      </c>
      <c r="D56" s="3">
        <v>8</v>
      </c>
      <c r="E56" s="3">
        <v>5</v>
      </c>
      <c r="F56" s="3" t="s">
        <v>38</v>
      </c>
      <c r="G56" s="3" t="s">
        <v>38</v>
      </c>
      <c r="H56" s="3"/>
      <c r="I56" s="3"/>
      <c r="J56" s="3">
        <v>5</v>
      </c>
      <c r="K56" s="3">
        <v>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>
        <v>6</v>
      </c>
      <c r="D57" s="3">
        <v>2</v>
      </c>
      <c r="E57" s="3">
        <v>4</v>
      </c>
      <c r="F57" s="3" t="s">
        <v>38</v>
      </c>
      <c r="G57" s="3" t="s">
        <v>39</v>
      </c>
      <c r="H57" s="3"/>
      <c r="I57" s="3"/>
      <c r="J57" s="3">
        <v>1</v>
      </c>
      <c r="K57" s="3">
        <v>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13</v>
      </c>
      <c r="D59" s="3">
        <v>8</v>
      </c>
      <c r="E59" s="3">
        <v>5</v>
      </c>
      <c r="F59" s="3" t="s">
        <v>39</v>
      </c>
      <c r="G59" s="3" t="s">
        <v>38</v>
      </c>
      <c r="H59" s="3">
        <v>1</v>
      </c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</row>
    <row r="60" spans="1:28" x14ac:dyDescent="0.3">
      <c r="A60" s="2">
        <v>46099</v>
      </c>
      <c r="B60" s="3" t="str">
        <f t="shared" si="1"/>
        <v>Wed</v>
      </c>
      <c r="C60" s="3">
        <v>2</v>
      </c>
      <c r="D60" s="3">
        <v>1</v>
      </c>
      <c r="E60" s="3">
        <v>1</v>
      </c>
      <c r="F60" s="3" t="s">
        <v>39</v>
      </c>
      <c r="G60" s="3" t="s">
        <v>38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14</v>
      </c>
      <c r="D66" s="3">
        <v>8</v>
      </c>
      <c r="E66" s="3">
        <v>6</v>
      </c>
      <c r="F66" s="3" t="s">
        <v>38</v>
      </c>
      <c r="G66" s="3" t="s">
        <v>38</v>
      </c>
      <c r="H66" s="3"/>
      <c r="I66" s="3"/>
      <c r="J66" s="3">
        <v>2</v>
      </c>
      <c r="K66" s="3">
        <v>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</row>
    <row r="67" spans="1:28" x14ac:dyDescent="0.3">
      <c r="A67" s="2">
        <v>46106</v>
      </c>
      <c r="B67" s="3" t="str">
        <f t="shared" si="2"/>
        <v>Wed</v>
      </c>
      <c r="C67" s="3">
        <v>16</v>
      </c>
      <c r="D67" s="3">
        <v>11</v>
      </c>
      <c r="E67" s="3">
        <v>5</v>
      </c>
      <c r="F67" s="3" t="s">
        <v>38</v>
      </c>
      <c r="G67" s="3" t="s">
        <v>39</v>
      </c>
      <c r="H67" s="3"/>
      <c r="I67" s="3"/>
      <c r="J67" s="3"/>
      <c r="K67" s="3">
        <v>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>
        <v>1</v>
      </c>
      <c r="D68" s="3"/>
      <c r="E68" s="3">
        <v>1</v>
      </c>
      <c r="F68" s="3" t="s">
        <v>39</v>
      </c>
      <c r="G68" s="3" t="s">
        <v>39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11</v>
      </c>
      <c r="D69" s="3">
        <v>5</v>
      </c>
      <c r="E69" s="3">
        <v>6</v>
      </c>
      <c r="F69" s="3" t="s">
        <v>38</v>
      </c>
      <c r="G69" s="3" t="s">
        <v>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3</v>
      </c>
      <c r="D70" s="3"/>
      <c r="E70" s="3">
        <v>3</v>
      </c>
      <c r="F70" s="3" t="s">
        <v>39</v>
      </c>
      <c r="G70" s="3" t="s">
        <v>39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7</v>
      </c>
      <c r="D74" s="3">
        <v>3</v>
      </c>
      <c r="E74" s="3">
        <v>4</v>
      </c>
      <c r="F74" s="3" t="s">
        <v>38</v>
      </c>
      <c r="G74" s="3" t="s">
        <v>39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2</v>
      </c>
      <c r="D77" s="3">
        <v>1</v>
      </c>
      <c r="E77" s="3">
        <v>1</v>
      </c>
      <c r="F77" s="3" t="s">
        <v>39</v>
      </c>
      <c r="G77" s="3" t="s">
        <v>38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3</v>
      </c>
      <c r="D78" s="3">
        <v>1</v>
      </c>
      <c r="E78" s="3">
        <v>2</v>
      </c>
      <c r="F78" s="3" t="s">
        <v>38</v>
      </c>
      <c r="G78" s="3" t="s">
        <v>39</v>
      </c>
      <c r="H78" s="3"/>
      <c r="I78" s="3"/>
      <c r="J78" s="3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3</v>
      </c>
      <c r="D79" s="3">
        <v>1</v>
      </c>
      <c r="E79" s="3">
        <v>2</v>
      </c>
      <c r="F79" s="3" t="s">
        <v>39</v>
      </c>
      <c r="G79" s="3" t="s">
        <v>38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20</v>
      </c>
      <c r="D80" s="3">
        <v>12</v>
      </c>
      <c r="E80" s="3">
        <v>8</v>
      </c>
      <c r="F80" s="3" t="s">
        <v>38</v>
      </c>
      <c r="G80" s="3" t="s">
        <v>38</v>
      </c>
      <c r="H80" s="3">
        <v>1</v>
      </c>
      <c r="I80" s="3">
        <v>1</v>
      </c>
      <c r="J80" s="3">
        <v>3</v>
      </c>
      <c r="K80" s="3">
        <v>2</v>
      </c>
      <c r="L80" s="3"/>
      <c r="M80" s="3"/>
      <c r="N80" s="3"/>
      <c r="O80" s="3"/>
      <c r="P80" s="3"/>
      <c r="Q80" s="3"/>
      <c r="R80" s="3">
        <v>1</v>
      </c>
      <c r="S80" s="3">
        <v>1</v>
      </c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1</v>
      </c>
      <c r="D83" s="3"/>
      <c r="E83" s="3">
        <v>1</v>
      </c>
      <c r="F83" s="3" t="s">
        <v>39</v>
      </c>
      <c r="G83" s="3" t="s">
        <v>39</v>
      </c>
      <c r="H83" s="3"/>
      <c r="I83" s="3">
        <v>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>
        <v>3</v>
      </c>
      <c r="D86" s="3">
        <v>3</v>
      </c>
      <c r="E86" s="3"/>
      <c r="F86" s="3" t="s">
        <v>38</v>
      </c>
      <c r="G86" s="3" t="s">
        <v>38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</v>
      </c>
      <c r="D90" s="3">
        <v>1</v>
      </c>
      <c r="E90" s="3">
        <v>2</v>
      </c>
      <c r="F90" s="3" t="s">
        <v>38</v>
      </c>
      <c r="G90" s="3" t="s">
        <v>39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>
        <v>1</v>
      </c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4</v>
      </c>
      <c r="D93" s="3">
        <v>3</v>
      </c>
      <c r="E93" s="3">
        <v>1</v>
      </c>
      <c r="F93" s="3" t="s">
        <v>38</v>
      </c>
      <c r="G93" s="3" t="s">
        <v>39</v>
      </c>
      <c r="H93" s="3">
        <v>1</v>
      </c>
      <c r="I93" s="3"/>
      <c r="J93" s="3">
        <v>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3</v>
      </c>
      <c r="D94" s="3">
        <v>2</v>
      </c>
      <c r="E94" s="3">
        <v>1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1</v>
      </c>
      <c r="D97" s="3"/>
      <c r="E97" s="3">
        <v>1</v>
      </c>
      <c r="F97" s="3" t="s">
        <v>39</v>
      </c>
      <c r="G97" s="3" t="s">
        <v>39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>
        <v>1</v>
      </c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10</v>
      </c>
      <c r="D107" s="3">
        <v>5</v>
      </c>
      <c r="E107" s="3">
        <v>5</v>
      </c>
      <c r="F107" s="3" t="s">
        <v>38</v>
      </c>
      <c r="G107" s="3" t="s">
        <v>38</v>
      </c>
      <c r="H107" s="3"/>
      <c r="I107" s="3"/>
      <c r="J107" s="3">
        <v>4</v>
      </c>
      <c r="K107" s="3">
        <v>3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3</v>
      </c>
      <c r="D108" s="3">
        <v>3</v>
      </c>
      <c r="E108" s="3"/>
      <c r="F108" s="3" t="s">
        <v>38</v>
      </c>
      <c r="G108" s="3" t="s">
        <v>38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1</v>
      </c>
      <c r="D109" s="3"/>
      <c r="E109" s="3">
        <v>1</v>
      </c>
      <c r="F109" s="3" t="s">
        <v>39</v>
      </c>
      <c r="G109" s="3" t="s">
        <v>39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>
        <v>1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7</v>
      </c>
      <c r="D111" s="3">
        <v>4</v>
      </c>
      <c r="E111" s="3">
        <v>3</v>
      </c>
      <c r="F111" s="3" t="s">
        <v>39</v>
      </c>
      <c r="G111" s="3" t="s">
        <v>38</v>
      </c>
      <c r="H111" s="3"/>
      <c r="I111" s="3"/>
      <c r="J111" s="3">
        <v>1</v>
      </c>
      <c r="K111" s="3">
        <v>1</v>
      </c>
      <c r="L111" s="3"/>
      <c r="M111" s="3"/>
      <c r="N111" s="3"/>
      <c r="O111" s="3"/>
      <c r="P111" s="3"/>
      <c r="Q111" s="3"/>
      <c r="R111" s="3"/>
      <c r="S111" s="3"/>
      <c r="T111" s="3">
        <v>1</v>
      </c>
      <c r="U111" s="3"/>
      <c r="V111" s="3"/>
      <c r="W111" s="3"/>
      <c r="X111" s="3"/>
      <c r="Y111" s="3"/>
      <c r="Z111" s="3">
        <v>1</v>
      </c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45</v>
      </c>
      <c r="C3" s="5"/>
    </row>
    <row r="4" spans="1:3" x14ac:dyDescent="0.3">
      <c r="A4" s="5" t="s">
        <v>31</v>
      </c>
      <c r="B4" s="5">
        <f>COUNTIF('WhatsApp Data'!F2:F111,"Me")</f>
        <v>28</v>
      </c>
      <c r="C4" s="5"/>
    </row>
    <row r="5" spans="1:3" x14ac:dyDescent="0.3">
      <c r="A5" s="5" t="s">
        <v>32</v>
      </c>
      <c r="B5" s="5">
        <f>COUNTIF('WhatsApp Data'!F2:F111,"You")</f>
        <v>17</v>
      </c>
      <c r="C5" s="5"/>
    </row>
    <row r="6" spans="1:3" x14ac:dyDescent="0.3">
      <c r="A6" s="5" t="s">
        <v>33</v>
      </c>
      <c r="B6" s="5">
        <f>COUNTIF('WhatsApp Data'!G2:G111,"Me")</f>
        <v>22</v>
      </c>
      <c r="C6" s="5"/>
    </row>
    <row r="7" spans="1:3" x14ac:dyDescent="0.3">
      <c r="A7" s="5" t="s">
        <v>34</v>
      </c>
      <c r="B7" s="5">
        <f>COUNTIF('WhatsApp Data'!G2:G111,"You")</f>
        <v>23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329</v>
      </c>
      <c r="C10" s="6">
        <f t="shared" ref="C10:C33" si="0">IFERROR(B10/$B$2,0)</f>
        <v>2.9909090909090907</v>
      </c>
    </row>
    <row r="11" spans="1:3" x14ac:dyDescent="0.3">
      <c r="A11" s="5" t="s">
        <v>3</v>
      </c>
      <c r="B11" s="5">
        <f>SUM('WhatsApp Data'!D2:D111)</f>
        <v>180</v>
      </c>
      <c r="C11" s="6">
        <f t="shared" si="0"/>
        <v>1.6363636363636365</v>
      </c>
    </row>
    <row r="12" spans="1:3" x14ac:dyDescent="0.3">
      <c r="A12" s="5" t="s">
        <v>4</v>
      </c>
      <c r="B12" s="5">
        <f>SUM('WhatsApp Data'!E2:E111)</f>
        <v>149</v>
      </c>
      <c r="C12" s="6">
        <f t="shared" si="0"/>
        <v>1.3545454545454545</v>
      </c>
    </row>
    <row r="13" spans="1:3" x14ac:dyDescent="0.3">
      <c r="A13" s="5" t="s">
        <v>7</v>
      </c>
      <c r="B13" s="5">
        <f>SUM('WhatsApp Data'!H2:H111)</f>
        <v>4</v>
      </c>
      <c r="C13" s="6">
        <f t="shared" si="0"/>
        <v>3.6363636363636362E-2</v>
      </c>
    </row>
    <row r="14" spans="1:3" x14ac:dyDescent="0.3">
      <c r="A14" s="5" t="s">
        <v>8</v>
      </c>
      <c r="B14" s="5">
        <f>SUM('WhatsApp Data'!I2:I111)</f>
        <v>13</v>
      </c>
      <c r="C14" s="6">
        <f t="shared" si="0"/>
        <v>0.11818181818181818</v>
      </c>
    </row>
    <row r="15" spans="1:3" x14ac:dyDescent="0.3">
      <c r="A15" s="5" t="s">
        <v>9</v>
      </c>
      <c r="B15" s="5">
        <f>SUM('WhatsApp Data'!J2:J111)</f>
        <v>31</v>
      </c>
      <c r="C15" s="6">
        <f t="shared" si="0"/>
        <v>0.2818181818181818</v>
      </c>
    </row>
    <row r="16" spans="1:3" x14ac:dyDescent="0.3">
      <c r="A16" s="5" t="s">
        <v>10</v>
      </c>
      <c r="B16" s="5">
        <f>SUM('WhatsApp Data'!K2:K111)</f>
        <v>24</v>
      </c>
      <c r="C16" s="6">
        <f t="shared" si="0"/>
        <v>0.21818181818181817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3</v>
      </c>
      <c r="C23" s="6">
        <f t="shared" si="0"/>
        <v>2.7272727272727271E-2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10</v>
      </c>
      <c r="C31" s="6">
        <f t="shared" si="0"/>
        <v>9.0909090909090912E-2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2026-10-11T18:55:57Z</dcterms:modified>
  <dc:language>en-US</dc:language>
</cp:coreProperties>
</file>