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7C49A8AC-DF3D-483D-9989-B064A23CFA4A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<sst xmlns="http://schemas.openxmlformats.org/spreadsheetml/2006/main" count="74" uniqueCount="40">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</sst>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85" activePane="bottomRight" state="frozen"/>
      <selection pane="topRight" activeCell="C1" sqref="C1"/>
      <selection pane="bottomLeft" activeCell="A2" sqref="A2"/>
      <selection pane="bottomRight" activeCell="H109" sqref="H109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>
        <v>13</v>
      </c>
      <c r="D46" s="3">
        <v>5</v>
      </c>
      <c r="E46" s="3">
        <v>8</v>
      </c>
      <c r="F46" s="3" t="s">
        <v>38</v>
      </c>
      <c r="G46" s="3" t="s">
        <v>38</v>
      </c>
      <c r="H46" s="3">
        <v>3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>
        <v>3</v>
      </c>
      <c r="D57" s="3">
        <v>1</v>
      </c>
      <c r="E57" s="3">
        <v>2</v>
      </c>
      <c r="F57" s="3" t="s">
        <v>38</v>
      </c>
      <c r="G57" s="3" t="s">
        <v>39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>
        <v>39</v>
      </c>
      <c r="D67" s="3">
        <v>16</v>
      </c>
      <c r="E67" s="3">
        <v>23</v>
      </c>
      <c r="F67" s="3" t="s">
        <v>38</v>
      </c>
      <c r="G67" s="3" t="s">
        <v>39</v>
      </c>
      <c r="H67" s="3"/>
      <c r="I67" s="3"/>
      <c r="J67" s="3">
        <v>3</v>
      </c>
      <c r="K67" s="3">
        <v>2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3</v>
      </c>
      <c r="D94" s="3">
        <v>2</v>
      </c>
      <c r="E94" s="3">
        <v>1</v>
      </c>
      <c r="F94" s="3" t="s">
        <v>38</v>
      </c>
      <c r="G94" s="3" t="s">
        <v>39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>
        <v>32</v>
      </c>
      <c r="D108" s="3">
        <v>12</v>
      </c>
      <c r="E108" s="3">
        <v>20</v>
      </c>
      <c r="F108" s="3" t="s">
        <v>38</v>
      </c>
      <c r="G108" s="3" t="s">
        <v>39</v>
      </c>
      <c r="H108" s="3">
        <v>2</v>
      </c>
      <c r="I108" s="3"/>
      <c r="J108" s="3">
        <v>1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>
        <v>1</v>
      </c>
      <c r="D109" s="3">
        <v>1</v>
      </c>
      <c r="E109" s="3"/>
      <c r="F109" s="3" t="s">
        <v>39</v>
      </c>
      <c r="G109" s="3" t="s">
        <v>39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6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5</v>
      </c>
      <c r="C5" s="5"/>
    </row>
    <row r="6" spans="1:3" x14ac:dyDescent="0.3">
      <c r="A6" s="5" t="s">
        <v>33</v>
      </c>
      <c r="B6" s="5">
        <f>COUNTIF('WhatsApp Data'!G2:G111,"Me")</f>
        <v>5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91</v>
      </c>
      <c r="C10" s="6">
        <f t="shared" ref="C10:C33" si="0">IFERROR(B10/$B$2,0)</f>
        <v>0.82727272727272727</v>
      </c>
    </row>
    <row r="11" spans="1:3" x14ac:dyDescent="0.3">
      <c r="A11" s="5" t="s">
        <v>3</v>
      </c>
      <c r="B11" s="5">
        <f>SUM('WhatsApp Data'!D2:D111)</f>
        <v>37</v>
      </c>
      <c r="C11" s="6">
        <f t="shared" si="0"/>
        <v>0.33636363636363636</v>
      </c>
    </row>
    <row r="12" spans="1:3" x14ac:dyDescent="0.3">
      <c r="A12" s="5" t="s">
        <v>4</v>
      </c>
      <c r="B12" s="5">
        <f>SUM('WhatsApp Data'!E2:E111)</f>
        <v>54</v>
      </c>
      <c r="C12" s="6">
        <f t="shared" si="0"/>
        <v>0.49090909090909091</v>
      </c>
    </row>
    <row r="13" spans="1:3" x14ac:dyDescent="0.3">
      <c r="A13" s="5" t="s">
        <v>7</v>
      </c>
      <c r="B13" s="5">
        <f>SUM('WhatsApp Data'!H2:H111)</f>
        <v>5</v>
      </c>
      <c r="C13" s="6">
        <f t="shared" si="0"/>
        <v>4.5454545454545456E-2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4</v>
      </c>
      <c r="C15" s="6">
        <f t="shared" si="0"/>
        <v>3.6363636363636362E-2</v>
      </c>
    </row>
    <row r="16" spans="1:3" x14ac:dyDescent="0.3">
      <c r="A16" s="5" t="s">
        <v>10</v>
      </c>
      <c r="B16" s="5">
        <f>SUM('WhatsApp Data'!K2:K111)</f>
        <v>2</v>
      </c>
      <c r="C16" s="6">
        <f t="shared" si="0"/>
        <v>1.8181818181818181E-2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2026-10-15T19:29:56Z</dcterms:modified>
  <dc:language>en-US</dc:language>
</cp:coreProperties>
</file>