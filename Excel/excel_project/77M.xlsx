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837F495F-7530-49D7-998C-5870902684BD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<sst xmlns="http://schemas.openxmlformats.org/spreadsheetml/2006/main" count="72" uniqueCount="40">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</sst>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81" activePane="bottomRight" state="frozen"/>
      <selection pane="topRight" activeCell="C1" sqref="C1"/>
      <selection pane="bottomLeft" activeCell="A2" sqref="A2"/>
      <selection pane="bottomRight" activeCell="H110" sqref="H110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1</v>
      </c>
      <c r="D63" s="3">
        <v>1</v>
      </c>
      <c r="E63" s="3"/>
      <c r="F63" s="3" t="s">
        <v>38</v>
      </c>
      <c r="G63" s="3" t="s">
        <v>38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18</v>
      </c>
      <c r="D83" s="3">
        <v>9</v>
      </c>
      <c r="E83" s="3">
        <v>9</v>
      </c>
      <c r="F83" s="3" t="s">
        <v>38</v>
      </c>
      <c r="G83" s="3" t="s">
        <v>38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>
        <v>1</v>
      </c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>
        <v>10</v>
      </c>
      <c r="D104" s="3">
        <v>6</v>
      </c>
      <c r="E104" s="3">
        <v>4</v>
      </c>
      <c r="F104" s="3" t="s">
        <v>38</v>
      </c>
      <c r="G104" s="3" t="s">
        <v>39</v>
      </c>
      <c r="H104" s="3"/>
      <c r="I104" s="3"/>
      <c r="J104" s="3"/>
      <c r="K104" s="3">
        <v>1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>
        <v>13</v>
      </c>
      <c r="D107" s="3">
        <v>8</v>
      </c>
      <c r="E107" s="3">
        <v>5</v>
      </c>
      <c r="F107" s="3" t="s">
        <v>38</v>
      </c>
      <c r="G107" s="3" t="s">
        <v>39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4</v>
      </c>
      <c r="D110" s="3">
        <v>3</v>
      </c>
      <c r="E110" s="3">
        <v>1</v>
      </c>
      <c r="F110" s="3" t="s">
        <v>38</v>
      </c>
      <c r="G110" s="3" t="s">
        <v>38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5</v>
      </c>
      <c r="C3" s="5"/>
    </row>
    <row r="4" spans="1:3" x14ac:dyDescent="0.3">
      <c r="A4" s="5" t="s">
        <v>31</v>
      </c>
      <c r="B4" s="5">
        <f>COUNTIF('WhatsApp Data'!F2:F111,"Me")</f>
        <v>5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3</v>
      </c>
      <c r="C6" s="5"/>
    </row>
    <row r="7" spans="1:3" x14ac:dyDescent="0.3">
      <c r="A7" s="5" t="s">
        <v>34</v>
      </c>
      <c r="B7" s="5">
        <f>COUNTIF('WhatsApp Data'!G2:G111,"You")</f>
        <v>2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46</v>
      </c>
      <c r="C10" s="6">
        <f t="shared" ref="C10:C33" si="0">IFERROR(B10/$B$2,0)</f>
        <v>0.41818181818181815</v>
      </c>
    </row>
    <row r="11" spans="1:3" x14ac:dyDescent="0.3">
      <c r="A11" s="5" t="s">
        <v>3</v>
      </c>
      <c r="B11" s="5">
        <f>SUM('WhatsApp Data'!D2:D111)</f>
        <v>27</v>
      </c>
      <c r="C11" s="6">
        <f t="shared" si="0"/>
        <v>0.24545454545454545</v>
      </c>
    </row>
    <row r="12" spans="1:3" x14ac:dyDescent="0.3">
      <c r="A12" s="5" t="s">
        <v>4</v>
      </c>
      <c r="B12" s="5">
        <f>SUM('WhatsApp Data'!E2:E111)</f>
        <v>19</v>
      </c>
      <c r="C12" s="6">
        <f t="shared" si="0"/>
        <v>0.17272727272727273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1</v>
      </c>
      <c r="C16" s="6">
        <f t="shared" si="0"/>
        <v>9.0909090909090905E-3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2026-10-17T14:46:10Z</dcterms:modified>
  <dc:language>en-US</dc:language>
</cp:coreProperties>
</file>