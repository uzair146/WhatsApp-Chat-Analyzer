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C25C4CE5-E811-4599-B7BF-07C172F3DF42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<sst xmlns="http://schemas.openxmlformats.org/spreadsheetml/2006/main" count="75" uniqueCount="41">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</sst>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86" activePane="bottomRight" state="frozen"/>
      <selection pane="topRight" activeCell="C1" sqref="C1"/>
      <selection pane="bottomLeft" activeCell="A2" sqref="A2"/>
      <selection pane="bottomRight" activeCell="A112" sqref="A112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>
        <v>3</v>
      </c>
      <c r="D89" s="3">
        <v>3</v>
      </c>
      <c r="E89" s="3"/>
      <c r="F89" s="3" t="s">
        <v>38</v>
      </c>
      <c r="G89" s="3" t="s">
        <v>38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>
        <v>5</v>
      </c>
      <c r="D90" s="3">
        <v>3</v>
      </c>
      <c r="E90" s="3">
        <v>2</v>
      </c>
      <c r="F90" s="3" t="s">
        <v>38</v>
      </c>
      <c r="G90" s="3" t="s">
        <v>39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>
        <v>3</v>
      </c>
      <c r="D91" s="3">
        <v>1</v>
      </c>
      <c r="E91" s="3">
        <v>2</v>
      </c>
      <c r="F91" s="3" t="s">
        <v>39</v>
      </c>
      <c r="G91" s="3" t="s">
        <v>38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>
        <v>16</v>
      </c>
      <c r="D92" s="3">
        <v>10</v>
      </c>
      <c r="E92" s="3">
        <v>6</v>
      </c>
      <c r="F92" s="3" t="s">
        <v>38</v>
      </c>
      <c r="G92" s="3" t="s">
        <v>39</v>
      </c>
      <c r="H92" s="3">
        <v>3</v>
      </c>
      <c r="I92" s="3"/>
      <c r="J92" s="3">
        <v>2</v>
      </c>
      <c r="K92" s="3">
        <v>1</v>
      </c>
      <c r="L92" s="3"/>
      <c r="M92" s="3"/>
      <c r="N92" s="3"/>
      <c r="O92" s="3"/>
      <c r="P92" s="3"/>
      <c r="Q92" s="3"/>
      <c r="R92" s="3"/>
      <c r="S92" s="3"/>
      <c r="T92" s="3">
        <v>2</v>
      </c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">
        <v>40</v>
      </c>
      <c r="C97" s="3">
        <v>2</v>
      </c>
      <c r="D97" s="3">
        <v>2</v>
      </c>
      <c r="E97" s="3"/>
      <c r="F97" s="3" t="s">
        <v>38</v>
      </c>
      <c r="G97" s="3" t="s">
        <v>38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>
        <v>40</v>
      </c>
      <c r="D100" s="3">
        <v>22</v>
      </c>
      <c r="E100" s="3">
        <v>18</v>
      </c>
      <c r="F100" s="3" t="s">
        <v>38</v>
      </c>
      <c r="G100" s="3" t="s">
        <v>39</v>
      </c>
      <c r="H100" s="3">
        <v>4</v>
      </c>
      <c r="I100" s="3">
        <v>1</v>
      </c>
      <c r="J100" s="3">
        <v>4</v>
      </c>
      <c r="K100" s="3">
        <v>2</v>
      </c>
      <c r="L100" s="3"/>
      <c r="M100" s="3"/>
      <c r="N100" s="3">
        <v>1</v>
      </c>
      <c r="O100" s="3"/>
      <c r="P100" s="3"/>
      <c r="Q100" s="3">
        <v>3</v>
      </c>
      <c r="R100" s="3"/>
      <c r="S100" s="3">
        <v>1</v>
      </c>
      <c r="T100" s="3">
        <v>3</v>
      </c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6</v>
      </c>
      <c r="C3" s="5"/>
    </row>
    <row r="4" spans="1:3" x14ac:dyDescent="0.3">
      <c r="A4" s="5" t="s">
        <v>31</v>
      </c>
      <c r="B4" s="5">
        <f>COUNTIF('WhatsApp Data'!F2:F111,"Me")</f>
        <v>5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3</v>
      </c>
      <c r="C6" s="5"/>
    </row>
    <row r="7" spans="1:3" x14ac:dyDescent="0.3">
      <c r="A7" s="5" t="s">
        <v>34</v>
      </c>
      <c r="B7" s="5">
        <f>COUNTIF('WhatsApp Data'!G2:G111,"You")</f>
        <v>3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69</v>
      </c>
      <c r="C10" s="6">
        <f t="shared" ref="C10:C33" si="0">IFERROR(B10/$B$2,0)</f>
        <v>0.62727272727272732</v>
      </c>
    </row>
    <row r="11" spans="1:3" x14ac:dyDescent="0.3">
      <c r="A11" s="5" t="s">
        <v>3</v>
      </c>
      <c r="B11" s="5">
        <f>SUM('WhatsApp Data'!D2:D111)</f>
        <v>41</v>
      </c>
      <c r="C11" s="6">
        <f t="shared" si="0"/>
        <v>0.37272727272727274</v>
      </c>
    </row>
    <row r="12" spans="1:3" x14ac:dyDescent="0.3">
      <c r="A12" s="5" t="s">
        <v>4</v>
      </c>
      <c r="B12" s="5">
        <f>SUM('WhatsApp Data'!E2:E111)</f>
        <v>28</v>
      </c>
      <c r="C12" s="6">
        <f t="shared" si="0"/>
        <v>0.25454545454545452</v>
      </c>
    </row>
    <row r="13" spans="1:3" x14ac:dyDescent="0.3">
      <c r="A13" s="5" t="s">
        <v>7</v>
      </c>
      <c r="B13" s="5">
        <f>SUM('WhatsApp Data'!H2:H111)</f>
        <v>7</v>
      </c>
      <c r="C13" s="6">
        <f t="shared" si="0"/>
        <v>6.363636363636363E-2</v>
      </c>
    </row>
    <row r="14" spans="1:3" x14ac:dyDescent="0.3">
      <c r="A14" s="5" t="s">
        <v>8</v>
      </c>
      <c r="B14" s="5">
        <f>SUM('WhatsApp Data'!I2:I111)</f>
        <v>1</v>
      </c>
      <c r="C14" s="6">
        <f t="shared" si="0"/>
        <v>9.0909090909090905E-3</v>
      </c>
    </row>
    <row r="15" spans="1:3" x14ac:dyDescent="0.3">
      <c r="A15" s="5" t="s">
        <v>9</v>
      </c>
      <c r="B15" s="5">
        <f>SUM('WhatsApp Data'!J2:J111)</f>
        <v>6</v>
      </c>
      <c r="C15" s="6">
        <f t="shared" si="0"/>
        <v>5.4545454545454543E-2</v>
      </c>
    </row>
    <row r="16" spans="1:3" x14ac:dyDescent="0.3">
      <c r="A16" s="5" t="s">
        <v>10</v>
      </c>
      <c r="B16" s="5">
        <f>SUM('WhatsApp Data'!K2:K111)</f>
        <v>3</v>
      </c>
      <c r="C16" s="6">
        <f t="shared" si="0"/>
        <v>2.7272727272727271E-2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1</v>
      </c>
      <c r="C19" s="6">
        <f t="shared" si="0"/>
        <v>9.0909090909090905E-3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3</v>
      </c>
      <c r="C22" s="6">
        <f t="shared" si="0"/>
        <v>2.7272727272727271E-2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1</v>
      </c>
      <c r="C24" s="6">
        <f t="shared" si="0"/>
        <v>9.0909090909090905E-3</v>
      </c>
    </row>
    <row r="25" spans="1:3" x14ac:dyDescent="0.3">
      <c r="A25" s="5" t="s">
        <v>19</v>
      </c>
      <c r="B25" s="5">
        <f>SUM('WhatsApp Data'!T2:T111)</f>
        <v>5</v>
      </c>
      <c r="C25" s="6">
        <f t="shared" si="0"/>
        <v>4.5454545454545456E-2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2026-10-16T10:06:53Z</dcterms:modified>
  <dc:language>en-US</dc:language>
</cp:coreProperties>
</file>